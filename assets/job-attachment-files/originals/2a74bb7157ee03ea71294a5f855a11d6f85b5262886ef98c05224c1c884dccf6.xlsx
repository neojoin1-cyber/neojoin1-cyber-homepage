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001 정규직공채,인턴\## 정규직채용\26하반기\01 26하 채용계획\03 인크루트 송부\"/>
    </mc:Choice>
  </mc:AlternateContent>
  <xr:revisionPtr revIDLastSave="0" documentId="13_ncr:1_{B798F8A5-670C-4730-ACC4-474F98586497}" xr6:coauthVersionLast="47" xr6:coauthVersionMax="47" xr10:uidLastSave="{00000000-0000-0000-0000-000000000000}"/>
  <bookViews>
    <workbookView xWindow="-120" yWindow="-120" windowWidth="29040" windowHeight="15720" xr2:uid="{7298493F-17A6-4C1E-A4B0-1DC4D8D7AEDF}"/>
  </bookViews>
  <sheets>
    <sheet name="입력요령" sheetId="2" r:id="rId1"/>
    <sheet name="내신계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N8" i="1"/>
  <c r="K8" i="1"/>
  <c r="F8" i="1"/>
  <c r="C8" i="1"/>
  <c r="AC13" i="1" l="1"/>
  <c r="AB13" i="1"/>
  <c r="AA13" i="1"/>
  <c r="Z13" i="1"/>
  <c r="Y13" i="1"/>
  <c r="AC12" i="1"/>
  <c r="AB12" i="1"/>
  <c r="AA12" i="1"/>
  <c r="Z12" i="1"/>
  <c r="Y12" i="1"/>
  <c r="AC11" i="1"/>
  <c r="AB11" i="1"/>
  <c r="AA11" i="1"/>
  <c r="Z11" i="1"/>
  <c r="Y11" i="1"/>
  <c r="AC10" i="1"/>
  <c r="AB10" i="1"/>
  <c r="AA10" i="1"/>
  <c r="Z10" i="1"/>
  <c r="Y10" i="1"/>
  <c r="AC9" i="1"/>
  <c r="AB9" i="1"/>
  <c r="AA9" i="1"/>
  <c r="Z9" i="1"/>
  <c r="Y9" i="1"/>
  <c r="O8" i="1" l="1"/>
  <c r="G8" i="1"/>
  <c r="T8" i="1"/>
  <c r="L8" i="1"/>
  <c r="D8" i="1"/>
  <c r="AC28" i="1"/>
  <c r="AB28" i="1"/>
  <c r="AA28" i="1"/>
  <c r="Z28" i="1"/>
  <c r="Y28" i="1"/>
  <c r="AC27" i="1"/>
  <c r="AB27" i="1"/>
  <c r="AA27" i="1"/>
  <c r="Z27" i="1"/>
  <c r="Y27" i="1"/>
  <c r="AC26" i="1"/>
  <c r="AB26" i="1"/>
  <c r="AA26" i="1"/>
  <c r="Z26" i="1"/>
  <c r="Y26" i="1"/>
  <c r="AC25" i="1"/>
  <c r="AB25" i="1"/>
  <c r="AA25" i="1"/>
  <c r="Z25" i="1"/>
  <c r="Y25" i="1"/>
  <c r="AC24" i="1"/>
  <c r="AB24" i="1"/>
  <c r="AA24" i="1"/>
  <c r="Z24" i="1"/>
  <c r="Y24" i="1"/>
  <c r="AC33" i="1"/>
  <c r="AB33" i="1"/>
  <c r="AA33" i="1"/>
  <c r="Z33" i="1"/>
  <c r="Y33" i="1"/>
  <c r="AC32" i="1"/>
  <c r="AB32" i="1"/>
  <c r="AA32" i="1"/>
  <c r="Z32" i="1"/>
  <c r="Y32" i="1"/>
  <c r="AC31" i="1"/>
  <c r="AB31" i="1"/>
  <c r="AA31" i="1"/>
  <c r="Z31" i="1"/>
  <c r="Y31" i="1"/>
  <c r="AC30" i="1"/>
  <c r="AB30" i="1"/>
  <c r="AA30" i="1"/>
  <c r="Z30" i="1"/>
  <c r="Y30" i="1"/>
  <c r="AC29" i="1"/>
  <c r="AB29" i="1"/>
  <c r="AA29" i="1"/>
  <c r="Z29" i="1"/>
  <c r="Y29" i="1"/>
  <c r="AC43" i="1" l="1"/>
  <c r="AB43" i="1"/>
  <c r="AA43" i="1"/>
  <c r="Z43" i="1"/>
  <c r="Y43" i="1"/>
  <c r="AC42" i="1"/>
  <c r="AB42" i="1"/>
  <c r="AA42" i="1"/>
  <c r="Z42" i="1"/>
  <c r="Y42" i="1"/>
  <c r="AC41" i="1"/>
  <c r="AB41" i="1"/>
  <c r="AA41" i="1"/>
  <c r="Z41" i="1"/>
  <c r="Y41" i="1"/>
  <c r="AC40" i="1"/>
  <c r="AB40" i="1"/>
  <c r="AA40" i="1"/>
  <c r="Z40" i="1"/>
  <c r="Y40" i="1"/>
  <c r="AC39" i="1"/>
  <c r="AB39" i="1"/>
  <c r="AA39" i="1"/>
  <c r="Z39" i="1"/>
  <c r="Y39" i="1"/>
  <c r="AC38" i="1"/>
  <c r="AB38" i="1"/>
  <c r="AA38" i="1"/>
  <c r="Z38" i="1"/>
  <c r="Y38" i="1"/>
  <c r="AC37" i="1"/>
  <c r="AB37" i="1"/>
  <c r="AA37" i="1"/>
  <c r="Z37" i="1"/>
  <c r="Y37" i="1"/>
  <c r="AC36" i="1"/>
  <c r="AB36" i="1"/>
  <c r="AA36" i="1"/>
  <c r="Z36" i="1"/>
  <c r="Y36" i="1"/>
  <c r="AC35" i="1"/>
  <c r="AB35" i="1"/>
  <c r="AA35" i="1"/>
  <c r="Z35" i="1"/>
  <c r="Y35" i="1"/>
  <c r="AC34" i="1"/>
  <c r="AB34" i="1"/>
  <c r="AA34" i="1"/>
  <c r="Z34" i="1"/>
  <c r="Y34" i="1"/>
  <c r="AC23" i="1"/>
  <c r="AB23" i="1"/>
  <c r="AA23" i="1"/>
  <c r="Z23" i="1"/>
  <c r="Y23" i="1"/>
  <c r="AC22" i="1"/>
  <c r="AB22" i="1"/>
  <c r="AA22" i="1"/>
  <c r="Z22" i="1"/>
  <c r="Y22" i="1"/>
  <c r="AC21" i="1"/>
  <c r="AB21" i="1"/>
  <c r="AA21" i="1"/>
  <c r="Z21" i="1"/>
  <c r="Y21" i="1"/>
  <c r="AC20" i="1"/>
  <c r="AB20" i="1"/>
  <c r="AA20" i="1"/>
  <c r="Z20" i="1"/>
  <c r="Y20" i="1"/>
  <c r="AC19" i="1"/>
  <c r="AB19" i="1"/>
  <c r="AA19" i="1"/>
  <c r="Z19" i="1"/>
  <c r="Y19" i="1"/>
  <c r="AC18" i="1"/>
  <c r="AB18" i="1"/>
  <c r="AA18" i="1"/>
  <c r="Z18" i="1"/>
  <c r="Y18" i="1"/>
  <c r="AC17" i="1"/>
  <c r="AB17" i="1"/>
  <c r="AA17" i="1"/>
  <c r="Z17" i="1"/>
  <c r="Y17" i="1"/>
  <c r="AC16" i="1"/>
  <c r="AB16" i="1"/>
  <c r="AA16" i="1"/>
  <c r="Z16" i="1"/>
  <c r="Y16" i="1"/>
  <c r="AC15" i="1"/>
  <c r="AB15" i="1"/>
  <c r="AA15" i="1"/>
  <c r="Z15" i="1"/>
  <c r="Y15" i="1"/>
  <c r="AC14" i="1"/>
  <c r="AB14" i="1"/>
  <c r="AA14" i="1"/>
  <c r="Z14" i="1"/>
  <c r="Y14" i="1"/>
  <c r="S3" i="1" l="1"/>
</calcChain>
</file>

<file path=xl/sharedStrings.xml><?xml version="1.0" encoding="utf-8"?>
<sst xmlns="http://schemas.openxmlformats.org/spreadsheetml/2006/main" count="44" uniqueCount="29">
  <si>
    <t>과목명</t>
    <phoneticPr fontId="2" type="noConversion"/>
  </si>
  <si>
    <t>1학년 1학기</t>
    <phoneticPr fontId="2" type="noConversion"/>
  </si>
  <si>
    <t>1학년 2학기</t>
    <phoneticPr fontId="2" type="noConversion"/>
  </si>
  <si>
    <t>2학년 1학기</t>
    <phoneticPr fontId="2" type="noConversion"/>
  </si>
  <si>
    <t>2학년 2학기</t>
    <phoneticPr fontId="2" type="noConversion"/>
  </si>
  <si>
    <t>3학년 1학기</t>
    <phoneticPr fontId="2" type="noConversion"/>
  </si>
  <si>
    <t>1-1</t>
    <phoneticPr fontId="2" type="noConversion"/>
  </si>
  <si>
    <t>1-2</t>
    <phoneticPr fontId="2" type="noConversion"/>
  </si>
  <si>
    <t>2-1</t>
    <phoneticPr fontId="2" type="noConversion"/>
  </si>
  <si>
    <t>2-2</t>
    <phoneticPr fontId="2" type="noConversion"/>
  </si>
  <si>
    <t>3-1</t>
    <phoneticPr fontId="2" type="noConversion"/>
  </si>
  <si>
    <t>단위수</t>
    <phoneticPr fontId="2" type="noConversion"/>
  </si>
  <si>
    <t>성취도</t>
    <phoneticPr fontId="2" type="noConversion"/>
  </si>
  <si>
    <t>등급</t>
    <phoneticPr fontId="2" type="noConversion"/>
  </si>
  <si>
    <t>A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</si>
  <si>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</si>
  <si>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</si>
  <si>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</si>
  <si>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P</t>
    <phoneticPr fontId="2" type="noConversion"/>
  </si>
  <si>
    <t>평균내신등급</t>
    <phoneticPr fontId="2" type="noConversion"/>
  </si>
  <si>
    <t>석차
등급</t>
  </si>
  <si>
    <t>석차
등급</t>
    <phoneticPr fontId="2" type="noConversion"/>
  </si>
  <si>
    <t>학교생활기록부 성적 입력</t>
    <phoneticPr fontId="2" type="noConversion"/>
  </si>
  <si>
    <t>② 1학년 성적 입력</t>
    <phoneticPr fontId="2" type="noConversion"/>
  </si>
  <si>
    <t>③ 2학년 성적 입력</t>
    <phoneticPr fontId="2" type="noConversion"/>
  </si>
  <si>
    <t>④ 3학년 성적 입력</t>
    <phoneticPr fontId="2" type="noConversion"/>
  </si>
  <si>
    <t>B</t>
    <phoneticPr fontId="2" type="noConversion"/>
  </si>
  <si>
    <t>합  계</t>
    <phoneticPr fontId="2" type="noConversion"/>
  </si>
  <si>
    <t>합   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</si>
</sst>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_ "/>
    <numFmt numFmtId="178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3" borderId="9" xfId="0" quotePrefix="1" applyFont="1" applyFill="1" applyBorder="1" applyAlignment="1">
      <alignment horizontal="center" vertical="center"/>
    </xf>
    <xf numFmtId="0" fontId="3" fillId="4" borderId="7" xfId="0" quotePrefix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8" borderId="17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76" fontId="3" fillId="8" borderId="18" xfId="0" applyNumberFormat="1" applyFont="1" applyFill="1" applyBorder="1" applyAlignment="1">
      <alignment horizontal="center" vertical="center"/>
    </xf>
    <xf numFmtId="176" fontId="3" fillId="8" borderId="19" xfId="0" applyNumberFormat="1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 applyProtection="1">
      <alignment horizontal="left" vertical="center" shrinkToFit="1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 applyProtection="1">
      <alignment horizontal="left" vertical="center" shrinkToFit="1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 applyProtection="1">
      <alignment horizontal="left" vertical="center" shrinkToFit="1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vertical="center" shrinkToFi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vertical="center" shrinkToFit="1"/>
      <protection locked="0"/>
    </xf>
    <xf numFmtId="0" fontId="1" fillId="0" borderId="10" xfId="0" applyFont="1" applyBorder="1" applyAlignment="1" applyProtection="1">
      <alignment vertical="center" shrinkToFit="1"/>
      <protection locked="0"/>
    </xf>
    <xf numFmtId="0" fontId="1" fillId="0" borderId="24" xfId="0" applyFont="1" applyBorder="1" applyAlignment="1" applyProtection="1">
      <alignment vertical="center" shrinkToFit="1"/>
      <protection locked="0"/>
    </xf>
    <xf numFmtId="0" fontId="1" fillId="0" borderId="30" xfId="0" applyFont="1" applyBorder="1" applyAlignment="1" applyProtection="1">
      <alignment vertical="center" shrinkToFit="1"/>
      <protection locked="0"/>
    </xf>
    <xf numFmtId="0" fontId="1" fillId="0" borderId="3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Protection="1">
      <alignment vertical="center"/>
    </xf>
    <xf numFmtId="0" fontId="0" fillId="0" borderId="0" xfId="0" applyProtection="1">
      <alignment vertical="center"/>
    </xf>
    <xf numFmtId="0" fontId="0" fillId="9" borderId="0" xfId="0" applyFill="1">
      <alignment vertical="center"/>
    </xf>
    <xf numFmtId="0" fontId="7" fillId="0" borderId="0" xfId="0" applyFont="1" applyProtection="1">
      <alignment vertical="center"/>
    </xf>
    <xf numFmtId="0" fontId="3" fillId="10" borderId="1" xfId="0" applyFont="1" applyFill="1" applyBorder="1" applyAlignment="1" applyProtection="1">
      <alignment horizontal="center" vertical="center"/>
    </xf>
    <xf numFmtId="0" fontId="1" fillId="0" borderId="0" xfId="0" applyFont="1" applyFill="1" applyProtection="1">
      <alignment vertical="center"/>
      <protection hidden="1"/>
    </xf>
    <xf numFmtId="0" fontId="0" fillId="0" borderId="0" xfId="0" applyFill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quotePrefix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178" fontId="1" fillId="0" borderId="0" xfId="0" applyNumberFormat="1" applyFont="1">
      <alignment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" fillId="10" borderId="39" xfId="0" applyNumberFormat="1" applyFont="1" applyFill="1" applyBorder="1" applyAlignment="1">
      <alignment horizontal="center" vertical="center"/>
    </xf>
    <xf numFmtId="0" fontId="3" fillId="10" borderId="40" xfId="0" applyNumberFormat="1" applyFont="1" applyFill="1" applyBorder="1" applyAlignment="1">
      <alignment horizontal="center" vertical="center"/>
    </xf>
    <xf numFmtId="0" fontId="3" fillId="10" borderId="41" xfId="0" applyNumberFormat="1" applyFont="1" applyFill="1" applyBorder="1" applyAlignment="1">
      <alignment horizontal="center" vertical="center"/>
    </xf>
    <xf numFmtId="0" fontId="3" fillId="10" borderId="4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center" vertical="center"/>
    </xf>
    <xf numFmtId="177" fontId="5" fillId="0" borderId="1" xfId="0" applyNumberFormat="1" applyFont="1" applyFill="1" applyBorder="1" applyAlignment="1" applyProtection="1">
      <alignment horizontal="center" vertical="center"/>
      <protection hidden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DD4141"/>
      <color rgb="FF3762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45236;&#49888;&#44228;&#49328;!K3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51077;&#47141;&#50836;&#47161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0</xdr:row>
      <xdr:rowOff>152399</xdr:rowOff>
    </xdr:from>
    <xdr:to>
      <xdr:col>13</xdr:col>
      <xdr:colOff>466725</xdr:colOff>
      <xdr:row>38</xdr:row>
      <xdr:rowOff>11206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0CC552-CB9A-42F4-84FB-A57DD4ED133F}"/>
            </a:ext>
          </a:extLst>
        </xdr:cNvPr>
        <xdr:cNvSpPr txBox="1"/>
      </xdr:nvSpPr>
      <xdr:spPr>
        <a:xfrm>
          <a:off x="285751" y="152399"/>
          <a:ext cx="9067239" cy="7949454"/>
        </a:xfrm>
        <a:prstGeom prst="rect">
          <a:avLst/>
        </a:prstGeom>
        <a:solidFill>
          <a:schemeClr val="lt1"/>
        </a:solidFill>
        <a:ln w="38100" cmpd="sng">
          <a:solidFill>
            <a:srgbClr val="3762A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1600" b="1" u="sng">
            <a:solidFill>
              <a:srgbClr val="002060"/>
            </a:solidFill>
          </a:endParaRPr>
        </a:p>
        <a:p>
          <a:pPr algn="ctr"/>
          <a:r>
            <a:rPr lang="ko-KR" altLang="en-US" sz="1800" b="1" u="sng">
              <a:solidFill>
                <a:srgbClr val="002060"/>
              </a:solidFill>
            </a:rPr>
            <a:t>학교생활기록부 성적 입력 요령</a:t>
          </a:r>
          <a:endParaRPr lang="en-US" altLang="ko-KR" sz="1800" b="1" u="sng">
            <a:solidFill>
              <a:srgbClr val="002060"/>
            </a:solidFill>
          </a:endParaRPr>
        </a:p>
        <a:p>
          <a:endParaRPr lang="en-US" altLang="ko-KR" sz="500" b="1" baseline="0"/>
        </a:p>
        <a:p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□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학교장 추천서 대상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해당학교 동일전공 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학기 성적까지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종합 내신등급이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2.0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이하인 자만 해당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학교별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 초과하여 추천 시 해당학교 지원자 전원 우대 미적용되니 유의</a:t>
          </a:r>
          <a:endParaRPr lang="en-US" altLang="ko-KR" sz="1100" b="1" baseline="0"/>
        </a:p>
        <a:p>
          <a:endParaRPr lang="en-US" altLang="ko-KR" sz="500" b="1" baseline="0"/>
        </a:p>
        <a:p>
          <a:r>
            <a:rPr lang="ko-KR" altLang="en-US" sz="1100" b="1" baseline="0"/>
            <a:t>□ 입력 요령</a:t>
          </a:r>
          <a:r>
            <a:rPr lang="en-US" altLang="ko-KR" sz="1100" b="1" baseline="0"/>
            <a:t>  </a:t>
          </a:r>
        </a:p>
        <a:p>
          <a:r>
            <a:rPr lang="en-US" altLang="ko-KR" sz="1100" b="1" baseline="0"/>
            <a:t>   </a:t>
          </a:r>
          <a:r>
            <a:rPr lang="ko-KR" altLang="en-US" sz="1100" b="1" baseline="0"/>
            <a:t>① 학교생활기록부에 기재된 과목 순서대로 과목국명</a:t>
          </a:r>
          <a:r>
            <a:rPr lang="en-US" altLang="ko-KR" sz="1100" b="1" baseline="0"/>
            <a:t>, </a:t>
          </a:r>
          <a:r>
            <a:rPr lang="ko-KR" altLang="en-US" sz="1100" b="1" baseline="0"/>
            <a:t>단위수</a:t>
          </a:r>
          <a:r>
            <a:rPr lang="en-US" altLang="ko-KR" sz="1100" b="1" baseline="0"/>
            <a:t>, </a:t>
          </a:r>
          <a:r>
            <a:rPr lang="ko-KR" altLang="en-US" sz="1100" b="1" baseline="0"/>
            <a:t>성취도</a:t>
          </a:r>
          <a:r>
            <a:rPr lang="en-US" altLang="ko-KR" sz="1100" b="1" baseline="0"/>
            <a:t>, </a:t>
          </a:r>
          <a:r>
            <a:rPr lang="ko-KR" altLang="en-US" sz="1100" b="1" baseline="0"/>
            <a:t>석차등급 란에 해당 내용을 입력합니다</a:t>
          </a:r>
          <a:r>
            <a:rPr lang="en-US" altLang="ko-KR" sz="1100" b="1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과목별 원점수</a:t>
          </a:r>
          <a:r>
            <a:rPr lang="en-US" altLang="ko-KR" sz="1100" baseline="0"/>
            <a:t>/</a:t>
          </a:r>
          <a:r>
            <a:rPr lang="ko-KR" altLang="en-US" sz="1100" baseline="0"/>
            <a:t>과목평균</a:t>
          </a:r>
          <a:r>
            <a:rPr lang="en-US" altLang="ko-KR" sz="1100" baseline="0"/>
            <a:t>(</a:t>
          </a:r>
          <a:r>
            <a:rPr lang="ko-KR" altLang="en-US" sz="1100" baseline="0"/>
            <a:t>표준편차</a:t>
          </a:r>
          <a:r>
            <a:rPr lang="en-US" altLang="ko-KR" sz="1100" baseline="0"/>
            <a:t>)</a:t>
          </a:r>
          <a:r>
            <a:rPr lang="ko-KR" altLang="en-US" sz="1100" baseline="0"/>
            <a:t>는 입력하지 않습니다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성취도와 석차등급이 동시에 기재된 과목은 석차등급을 기준으로 자동 계산됩니다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석차등급이 기재되지 않는 전문교과 과목은 과목명</a:t>
          </a:r>
          <a:r>
            <a:rPr lang="en-US" altLang="ko-KR" sz="1100" baseline="0"/>
            <a:t>,</a:t>
          </a:r>
          <a:r>
            <a:rPr lang="ko-KR" altLang="en-US" sz="1100" baseline="0"/>
            <a:t> 단위수</a:t>
          </a:r>
          <a:r>
            <a:rPr lang="en-US" altLang="ko-KR" sz="1100" baseline="0"/>
            <a:t>, </a:t>
          </a:r>
          <a:r>
            <a:rPr lang="ko-KR" altLang="en-US" sz="1100" baseline="0"/>
            <a:t>성취도만 정확히 입력합니다</a:t>
          </a:r>
          <a:r>
            <a:rPr lang="en-US" altLang="ko-KR" sz="1100" baseline="0"/>
            <a:t>.</a:t>
          </a:r>
        </a:p>
        <a:p>
          <a:r>
            <a:rPr lang="en-US" altLang="ko-KR" sz="1100" b="1" baseline="0">
              <a:solidFill>
                <a:srgbClr val="FF0000"/>
              </a:solidFill>
            </a:rPr>
            <a:t>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※ 5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단계 산출과목 환산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A=1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B=3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C=5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D=7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E=9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endParaRPr lang="en-US" altLang="ko-KR" sz="1100" b="1" baseline="0">
            <a:solidFill>
              <a:srgbClr val="FF0000"/>
            </a:solidFill>
          </a:endParaRPr>
        </a:p>
        <a:p>
          <a:r>
            <a:rPr lang="en-US" altLang="ko-KR" sz="1100" baseline="0"/>
            <a:t>     - </a:t>
          </a:r>
          <a:r>
            <a:rPr lang="ko-KR" altLang="en-US" sz="1100" b="1" baseline="0">
              <a:solidFill>
                <a:srgbClr val="FF0000"/>
              </a:solidFill>
            </a:rPr>
            <a:t>체육</a:t>
          </a:r>
          <a:r>
            <a:rPr lang="en-US" altLang="ko-KR" sz="1100" b="1" baseline="0">
              <a:solidFill>
                <a:srgbClr val="FF0000"/>
              </a:solidFill>
            </a:rPr>
            <a:t>·</a:t>
          </a:r>
          <a:r>
            <a:rPr lang="ko-KR" altLang="en-US" sz="1100" b="1" baseline="0">
              <a:solidFill>
                <a:srgbClr val="FF0000"/>
              </a:solidFill>
            </a:rPr>
            <a:t>예술 교과</a:t>
          </a:r>
          <a:r>
            <a:rPr lang="en-US" altLang="ko-KR" sz="1100" b="1" baseline="0">
              <a:solidFill>
                <a:srgbClr val="FF0000"/>
              </a:solidFill>
            </a:rPr>
            <a:t>, </a:t>
          </a:r>
          <a:r>
            <a:rPr lang="ko-KR" altLang="en-US" sz="1100" b="1" baseline="0">
              <a:solidFill>
                <a:srgbClr val="FF0000"/>
              </a:solidFill>
            </a:rPr>
            <a:t>진로선택과목 등 </a:t>
          </a:r>
          <a:r>
            <a:rPr lang="en-US" altLang="ko-KR" sz="1100" b="1" baseline="0">
              <a:solidFill>
                <a:srgbClr val="FF0000"/>
              </a:solidFill>
            </a:rPr>
            <a:t>3</a:t>
          </a:r>
          <a:r>
            <a:rPr lang="ko-KR" altLang="en-US" sz="1100" b="1" baseline="0">
              <a:solidFill>
                <a:srgbClr val="FF0000"/>
              </a:solidFill>
            </a:rPr>
            <a:t>단계 성취도</a:t>
          </a:r>
          <a:r>
            <a:rPr lang="en-US" altLang="ko-KR" sz="1100" b="1" baseline="0">
              <a:solidFill>
                <a:srgbClr val="FF0000"/>
              </a:solidFill>
            </a:rPr>
            <a:t>(A~C)</a:t>
          </a:r>
          <a:r>
            <a:rPr lang="ko-KR" altLang="en-US" sz="1100" b="1" baseline="0">
              <a:solidFill>
                <a:srgbClr val="FF0000"/>
              </a:solidFill>
            </a:rPr>
            <a:t> 산출 과목</a:t>
          </a:r>
          <a:r>
            <a:rPr lang="en-US" altLang="ko-KR" sz="1100" b="1" baseline="0">
              <a:solidFill>
                <a:srgbClr val="FF0000"/>
              </a:solidFill>
            </a:rPr>
            <a:t>, P/F </a:t>
          </a:r>
          <a:r>
            <a:rPr lang="ko-KR" altLang="en-US" sz="1100" b="1" baseline="0">
              <a:solidFill>
                <a:srgbClr val="FF0000"/>
              </a:solidFill>
            </a:rPr>
            <a:t>과목 등은 입력하지 않습니다</a:t>
          </a:r>
          <a:r>
            <a:rPr lang="en-US" altLang="ko-KR" sz="1100" b="1" baseline="0">
              <a:solidFill>
                <a:srgbClr val="FF0000"/>
              </a:solidFill>
            </a:rPr>
            <a:t>. (</a:t>
          </a:r>
          <a:r>
            <a:rPr lang="ko-KR" altLang="en-US" sz="1100" b="1" baseline="0">
              <a:solidFill>
                <a:srgbClr val="FF0000"/>
              </a:solidFill>
            </a:rPr>
            <a:t>내신산출 제외대상</a:t>
          </a:r>
          <a:r>
            <a:rPr lang="en-US" altLang="ko-KR" sz="1100" b="1" baseline="0">
              <a:solidFill>
                <a:srgbClr val="FF0000"/>
              </a:solidFill>
            </a:rPr>
            <a:t>)</a:t>
          </a:r>
        </a:p>
        <a:p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      ※ 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학교생활기록부에 기재된 대로 </a:t>
          </a:r>
          <a:r>
            <a:rPr lang="ko-KR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해당사항이 없는 부분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공란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은 반드시 빈 칸으로 유지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해주시기 바랍니다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500" b="0" baseline="0">
            <a:solidFill>
              <a:srgbClr val="0000FF"/>
            </a:solidFill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1">
              <a:effectLst/>
            </a:rPr>
            <a:t>    </a:t>
          </a:r>
          <a:r>
            <a:rPr lang="ko-KR" altLang="en-US" b="1">
              <a:effectLst/>
            </a:rPr>
            <a:t>② 모든 정보 입력 후 </a:t>
          </a:r>
          <a:r>
            <a:rPr lang="ko-KR" altLang="en-US" b="1">
              <a:solidFill>
                <a:srgbClr val="FF0000"/>
              </a:solidFill>
              <a:effectLst/>
            </a:rPr>
            <a:t>평균내신등급에 표시되는 등급을 확인</a:t>
          </a:r>
          <a:r>
            <a:rPr lang="ko-KR" altLang="en-US" b="1">
              <a:effectLst/>
            </a:rPr>
            <a:t>하세요</a:t>
          </a:r>
          <a:r>
            <a:rPr lang="en-US" altLang="ko-KR" b="1">
              <a:effectLst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1">
              <a:solidFill>
                <a:srgbClr val="0000FF"/>
              </a:solidFill>
              <a:effectLst/>
            </a:rPr>
            <a:t>        </a:t>
          </a:r>
          <a:r>
            <a:rPr lang="en-US" altLang="ko-KR" b="0">
              <a:solidFill>
                <a:sysClr val="windowText" lastClr="000000"/>
              </a:solidFill>
              <a:effectLst/>
              <a:latin typeface="+mn-ea"/>
              <a:ea typeface="+mn-ea"/>
            </a:rPr>
            <a:t>※ </a:t>
          </a:r>
          <a:r>
            <a:rPr lang="ko-KR" altLang="en-US" b="0">
              <a:solidFill>
                <a:sysClr val="windowText" lastClr="000000"/>
              </a:solidFill>
              <a:effectLst/>
              <a:latin typeface="+mn-ea"/>
              <a:ea typeface="+mn-ea"/>
            </a:rPr>
            <a:t>소수점 두 번째 자리는 절사</a:t>
          </a:r>
          <a:endParaRPr lang="en-US" altLang="ko-KR" b="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500" b="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유의사항</a:t>
          </a:r>
          <a:endParaRPr lang="en-US" altLang="ko-KR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①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동일학기 동일 교과목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에 대해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과목명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성취도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석차등급을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중복입력하지 않도록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주의하시기 바랍니다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과목을 한 학년이 아닌 한 학기 단위로 이수한 경우 해당 학기에만 과목명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성취도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석차등급을 입력합니다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미이수한 학기는 빈 칸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).</a:t>
          </a:r>
          <a:b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&lt;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예시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☞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I' 5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 이수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II' 5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 이수한 경우</a:t>
          </a:r>
          <a:b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&lt;2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	           &lt;2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과목명  단위수 성취도 석차등급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 성취도 석차등급</a:t>
          </a:r>
          <a:endParaRPr lang="en-US" altLang="ko-KR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수학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         5           C              4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II			      5           B	       3</a:t>
          </a:r>
          <a:endParaRPr lang="ko-KR" altLang="ko-KR" b="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③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 요령과 유의사항을 숙지하여 내용을 입력하세요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실제 제출서류와 입력결과가 일치하지 않는 경우 합격이 취소될 수 있습니다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b="1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④ 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이</a:t>
          </a:r>
          <a:r>
            <a:rPr lang="ko-KR" altLang="ko-KR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파일은 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지원자에게 편의를 제공하고자 참고 용도로 제공하는 자료입니다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반드시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채용공고 등을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통해 안내된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기준으로 평균 내신등급을</a:t>
          </a:r>
          <a:endParaRPr lang="en-US" altLang="ko-KR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직접 계산하시어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실제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입력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산출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값과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일치하는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지를 반드시 확인하시기 바랍니다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결과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오류 등에 따른 문제의 책임은 본인에게 있습니다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364193</xdr:colOff>
      <xdr:row>33</xdr:row>
      <xdr:rowOff>112060</xdr:rowOff>
    </xdr:from>
    <xdr:to>
      <xdr:col>13</xdr:col>
      <xdr:colOff>115982</xdr:colOff>
      <xdr:row>36</xdr:row>
      <xdr:rowOff>96929</xdr:rowOff>
    </xdr:to>
    <xdr:sp macro="" textlink="">
      <xdr:nvSpPr>
        <xdr:cNvPr id="12" name="사각형: 둥근 모서리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1D5DD-01BA-4559-A896-2E881E5F5991}"/>
            </a:ext>
          </a:extLst>
        </xdr:cNvPr>
        <xdr:cNvSpPr/>
      </xdr:nvSpPr>
      <xdr:spPr>
        <a:xfrm>
          <a:off x="6516222" y="7138148"/>
          <a:ext cx="2486025" cy="623605"/>
        </a:xfrm>
        <a:prstGeom prst="roundRect">
          <a:avLst/>
        </a:prstGeom>
        <a:solidFill>
          <a:srgbClr val="DD414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ko-KR" altLang="en-US" sz="1800" b="1"/>
            <a:t>성적 입력 바로가기</a:t>
          </a:r>
        </a:p>
      </xdr:txBody>
    </xdr:sp>
    <xdr:clientData/>
  </xdr:twoCellAnchor>
  <xdr:twoCellAnchor editAs="oneCell">
    <xdr:from>
      <xdr:col>5</xdr:col>
      <xdr:colOff>515471</xdr:colOff>
      <xdr:row>35</xdr:row>
      <xdr:rowOff>33618</xdr:rowOff>
    </xdr:from>
    <xdr:to>
      <xdr:col>7</xdr:col>
      <xdr:colOff>593912</xdr:colOff>
      <xdr:row>36</xdr:row>
      <xdr:rowOff>197542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CA7DBD2-42EC-42B3-A328-B41758C7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265" y="7485530"/>
          <a:ext cx="1445559" cy="376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0</xdr:row>
      <xdr:rowOff>171450</xdr:rowOff>
    </xdr:from>
    <xdr:to>
      <xdr:col>6</xdr:col>
      <xdr:colOff>57150</xdr:colOff>
      <xdr:row>2</xdr:row>
      <xdr:rowOff>114300</xdr:rowOff>
    </xdr:to>
    <xdr:sp macro="" textlink="">
      <xdr:nvSpPr>
        <xdr:cNvPr id="3" name="사각형: 둥근 모서리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8E53E-6E5F-4E17-B999-13BE02A54141}"/>
            </a:ext>
          </a:extLst>
        </xdr:cNvPr>
        <xdr:cNvSpPr/>
      </xdr:nvSpPr>
      <xdr:spPr>
        <a:xfrm>
          <a:off x="1000125" y="171450"/>
          <a:ext cx="2486025" cy="504825"/>
        </a:xfrm>
        <a:prstGeom prst="roundRect">
          <a:avLst/>
        </a:prstGeom>
        <a:solidFill>
          <a:srgbClr val="DD414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ko-KR" altLang="en-US" sz="1400" b="1"/>
            <a:t>성적입력 유의사항 확인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7011-E497-488B-9102-E92A903CBF26}">
  <dimension ref="A1:P39"/>
  <sheetViews>
    <sheetView tabSelected="1" zoomScale="85" zoomScaleNormal="85" workbookViewId="0"/>
  </sheetViews>
  <sheetFormatPr defaultColWidth="0" defaultRowHeight="16.5" zeroHeight="1" x14ac:dyDescent="0.3"/>
  <cols>
    <col min="1" max="14" width="9" customWidth="1"/>
    <col min="15" max="15" width="9" hidden="1" customWidth="1"/>
    <col min="16" max="16" width="0" hidden="1" customWidth="1"/>
    <col min="17" max="16384" width="9" hidden="1"/>
  </cols>
  <sheetData>
    <row r="1" spans="1:14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x14ac:dyDescent="0.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4" x14ac:dyDescent="0.3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spans="1:14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</row>
    <row r="12" spans="1:14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1:14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4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4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pans="1:14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pans="1:14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1:14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1:14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spans="1:14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</row>
    <row r="21" spans="1:14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1:14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spans="1:14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5" spans="1:14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x14ac:dyDescent="0.3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</row>
    <row r="27" spans="1:14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4" x14ac:dyDescent="0.3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4" x14ac:dyDescent="0.3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4" x14ac:dyDescent="0.3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1:14" x14ac:dyDescent="0.3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</row>
    <row r="32" spans="1:14" x14ac:dyDescent="0.3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spans="1:14" x14ac:dyDescent="0.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</row>
    <row r="34" spans="1:14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</row>
    <row r="35" spans="1:14" x14ac:dyDescent="0.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spans="1:14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  <row r="37" spans="1:14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</row>
    <row r="38" spans="1:14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</row>
    <row r="39" spans="1:14" x14ac:dyDescent="0.3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</sheetData>
  <sheetProtection algorithmName="SHA-512" hashValue="4W/lKWM2NY959IRI7cbobb9nVUWpRbv0Ly2uhstIVMRo9T225FrGBRqWk0ZgDzbf1N6hyCPXFgsTrN9qd96QoA==" saltValue="j6xOOPnbHQWvjMbHtNVabQ==" spinCount="100000" sheet="1" selectLockedCell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8268-B013-445E-AC90-01A70437D71C}">
  <sheetPr codeName="Sheet1">
    <pageSetUpPr fitToPage="1"/>
  </sheetPr>
  <dimension ref="A1:AG44"/>
  <sheetViews>
    <sheetView showGridLines="0" zoomScale="85" zoomScaleNormal="85" workbookViewId="0">
      <pane ySplit="8" topLeftCell="A9" activePane="bottomLeft" state="frozen"/>
      <selection pane="bottomLeft" activeCell="B9" sqref="B9"/>
    </sheetView>
  </sheetViews>
  <sheetFormatPr defaultColWidth="9" defaultRowHeight="16.5" zeroHeight="1" x14ac:dyDescent="0.3"/>
  <cols>
    <col min="1" max="1" width="3.25" style="58" customWidth="1"/>
    <col min="2" max="2" width="16.25" style="1" customWidth="1"/>
    <col min="3" max="8" width="6.25" style="1" customWidth="1"/>
    <col min="9" max="9" width="5" style="58" customWidth="1"/>
    <col min="10" max="10" width="16.25" style="1" customWidth="1"/>
    <col min="11" max="16" width="6.25" style="1" customWidth="1"/>
    <col min="17" max="17" width="5" style="58" customWidth="1"/>
    <col min="18" max="18" width="16.25" style="1" customWidth="1"/>
    <col min="19" max="21" width="6.25" style="1" customWidth="1"/>
    <col min="22" max="22" width="5" style="1" customWidth="1"/>
    <col min="23" max="23" width="5" style="1" hidden="1" customWidth="1"/>
    <col min="24" max="24" width="5" hidden="1" customWidth="1"/>
    <col min="25" max="25" width="4.125" style="1" hidden="1" customWidth="1"/>
    <col min="26" max="26" width="4.125" hidden="1" customWidth="1"/>
    <col min="27" max="27" width="4.125" style="1" hidden="1" customWidth="1"/>
    <col min="28" max="28" width="4.125" hidden="1" customWidth="1"/>
    <col min="29" max="29" width="4.125" style="1" hidden="1" customWidth="1"/>
    <col min="30" max="30" width="5" style="1" hidden="1" customWidth="1"/>
    <col min="31" max="31" width="6.125" hidden="1" customWidth="1"/>
    <col min="32" max="32" width="4.625" hidden="1" customWidth="1"/>
    <col min="33" max="33" width="4.125" hidden="1" customWidth="1"/>
    <col min="34" max="34" width="5" customWidth="1"/>
    <col min="35" max="35" width="6.125" customWidth="1"/>
    <col min="36" max="36" width="4.625" customWidth="1"/>
    <col min="37" max="37" width="9" customWidth="1"/>
  </cols>
  <sheetData>
    <row r="1" spans="1:32" s="59" customFormat="1" ht="34.5" customHeight="1" x14ac:dyDescent="0.3">
      <c r="A1" s="58"/>
      <c r="B1" s="91" t="s">
        <v>22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58"/>
      <c r="W1" s="58"/>
      <c r="Y1" s="58"/>
      <c r="AA1" s="58"/>
      <c r="AC1" s="58"/>
      <c r="AD1" s="58"/>
    </row>
    <row r="2" spans="1:32" s="59" customFormat="1" ht="9.7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Y2" s="58"/>
      <c r="AA2" s="58"/>
      <c r="AC2" s="58"/>
      <c r="AD2" s="58"/>
    </row>
    <row r="3" spans="1:32" ht="22.5" customHeight="1" x14ac:dyDescent="0.3">
      <c r="B3" s="58"/>
      <c r="C3" s="58"/>
      <c r="D3" s="58"/>
      <c r="E3" s="58"/>
      <c r="F3" s="58"/>
      <c r="G3" s="58"/>
      <c r="H3" s="58"/>
      <c r="J3" s="65"/>
      <c r="K3" s="100"/>
      <c r="L3" s="100"/>
      <c r="M3" s="100"/>
      <c r="N3" s="100"/>
      <c r="O3" s="100"/>
      <c r="P3" s="100"/>
      <c r="Q3" s="61"/>
      <c r="R3" s="62" t="s">
        <v>19</v>
      </c>
      <c r="S3" s="92" t="str">
        <f>IFERROR(ROUNDDOWN(SUM(D8,G8,L8,O8,T8)/SUM(C8,F8,K8,N8,S8),1),"")</f>
        <v/>
      </c>
      <c r="T3" s="92"/>
      <c r="U3" s="92"/>
      <c r="W3" s="68"/>
      <c r="Z3" s="3"/>
      <c r="AA3" s="2"/>
      <c r="AB3" s="3"/>
      <c r="AC3" s="2"/>
      <c r="AD3" s="2"/>
    </row>
    <row r="4" spans="1:32" s="64" customFormat="1" ht="22.5" customHeight="1" x14ac:dyDescent="0.3">
      <c r="A4" s="63"/>
      <c r="B4" s="65"/>
      <c r="C4" s="58"/>
      <c r="D4" s="58"/>
      <c r="E4" s="58"/>
      <c r="F4" s="58"/>
      <c r="G4" s="58"/>
      <c r="H4" s="58"/>
      <c r="I4" s="58"/>
      <c r="J4" s="65"/>
      <c r="K4" s="66"/>
      <c r="L4" s="67"/>
      <c r="M4" s="67"/>
      <c r="N4" s="67"/>
      <c r="O4" s="67"/>
      <c r="P4" s="67"/>
      <c r="Q4" s="61"/>
      <c r="R4" s="61"/>
      <c r="S4" s="61"/>
      <c r="T4" s="61"/>
      <c r="U4" s="61"/>
      <c r="V4" s="63"/>
      <c r="W4" s="63"/>
      <c r="Y4" s="63"/>
      <c r="AA4" s="63"/>
      <c r="AC4" s="63"/>
      <c r="AD4" s="63"/>
    </row>
    <row r="5" spans="1:32" s="59" customFormat="1" ht="15.75" customHeight="1" x14ac:dyDescent="0.3">
      <c r="A5" s="58"/>
      <c r="B5" s="101" t="s">
        <v>23</v>
      </c>
      <c r="C5" s="101"/>
      <c r="D5" s="101"/>
      <c r="E5" s="101"/>
      <c r="F5" s="101"/>
      <c r="G5" s="101"/>
      <c r="H5" s="101"/>
      <c r="I5" s="58"/>
      <c r="J5" s="104" t="s">
        <v>24</v>
      </c>
      <c r="K5" s="105"/>
      <c r="L5" s="105"/>
      <c r="M5" s="105"/>
      <c r="N5" s="105"/>
      <c r="O5" s="105"/>
      <c r="P5" s="106"/>
      <c r="Q5" s="58"/>
      <c r="R5" s="99" t="s">
        <v>25</v>
      </c>
      <c r="S5" s="99"/>
      <c r="T5" s="99"/>
      <c r="U5" s="99"/>
      <c r="V5" s="58"/>
      <c r="W5" s="58"/>
      <c r="Y5" s="58"/>
      <c r="AA5" s="58"/>
      <c r="AC5" s="58"/>
      <c r="AD5" s="58"/>
    </row>
    <row r="6" spans="1:32" ht="21.75" customHeight="1" x14ac:dyDescent="0.3">
      <c r="B6" s="87" t="s">
        <v>0</v>
      </c>
      <c r="C6" s="96" t="s">
        <v>1</v>
      </c>
      <c r="D6" s="97"/>
      <c r="E6" s="98"/>
      <c r="F6" s="96" t="s">
        <v>2</v>
      </c>
      <c r="G6" s="97"/>
      <c r="H6" s="98"/>
      <c r="J6" s="89" t="s">
        <v>0</v>
      </c>
      <c r="K6" s="84" t="s">
        <v>3</v>
      </c>
      <c r="L6" s="85"/>
      <c r="M6" s="86"/>
      <c r="N6" s="84" t="s">
        <v>4</v>
      </c>
      <c r="O6" s="85"/>
      <c r="P6" s="86"/>
      <c r="R6" s="102" t="s">
        <v>0</v>
      </c>
      <c r="S6" s="93" t="s">
        <v>5</v>
      </c>
      <c r="T6" s="94"/>
      <c r="U6" s="95"/>
      <c r="V6" s="4"/>
      <c r="W6" s="4"/>
      <c r="Y6" s="5" t="s">
        <v>6</v>
      </c>
      <c r="Z6" s="6" t="s">
        <v>7</v>
      </c>
      <c r="AA6" s="7" t="s">
        <v>8</v>
      </c>
      <c r="AB6" s="7" t="s">
        <v>9</v>
      </c>
      <c r="AC6" s="8" t="s">
        <v>10</v>
      </c>
      <c r="AD6" s="9"/>
    </row>
    <row r="7" spans="1:32" ht="33" customHeight="1" thickBot="1" x14ac:dyDescent="0.35">
      <c r="B7" s="88"/>
      <c r="C7" s="69" t="s">
        <v>11</v>
      </c>
      <c r="D7" s="70" t="s">
        <v>12</v>
      </c>
      <c r="E7" s="71" t="s">
        <v>21</v>
      </c>
      <c r="F7" s="69" t="s">
        <v>11</v>
      </c>
      <c r="G7" s="70" t="s">
        <v>12</v>
      </c>
      <c r="H7" s="71" t="s">
        <v>20</v>
      </c>
      <c r="J7" s="90"/>
      <c r="K7" s="72" t="s">
        <v>11</v>
      </c>
      <c r="L7" s="73" t="s">
        <v>12</v>
      </c>
      <c r="M7" s="74" t="s">
        <v>20</v>
      </c>
      <c r="N7" s="72" t="s">
        <v>11</v>
      </c>
      <c r="O7" s="73" t="s">
        <v>12</v>
      </c>
      <c r="P7" s="74" t="s">
        <v>20</v>
      </c>
      <c r="R7" s="103"/>
      <c r="S7" s="75" t="s">
        <v>11</v>
      </c>
      <c r="T7" s="76" t="s">
        <v>12</v>
      </c>
      <c r="U7" s="77" t="s">
        <v>20</v>
      </c>
      <c r="V7" s="13"/>
      <c r="W7" s="13"/>
      <c r="Y7" s="14"/>
      <c r="Z7" s="10"/>
      <c r="AA7" s="11"/>
      <c r="AB7" s="11"/>
      <c r="AC7" s="12"/>
      <c r="AD7" s="13"/>
      <c r="AE7" s="15" t="s">
        <v>12</v>
      </c>
      <c r="AF7" s="15" t="s">
        <v>13</v>
      </c>
    </row>
    <row r="8" spans="1:32" ht="17.25" thickBot="1" x14ac:dyDescent="0.35">
      <c r="B8" s="79" t="s">
        <v>27</v>
      </c>
      <c r="C8" s="80" t="str">
        <f>IF((SUM(C9:C43)-SUMIF(D9:D43,"P",C9:C43))=0,"",SUM(C9:C43)-SUMIF(D9:D43,"P",C9:C43))</f>
        <v/>
      </c>
      <c r="D8" s="81" t="str">
        <f>IFERROR(IF(COUNTA(C9:E43)=0,"",ROUND(SUM(Y9:Y43),2)),"")</f>
        <v/>
      </c>
      <c r="E8" s="82"/>
      <c r="F8" s="80" t="str">
        <f>IF((SUM(F9:F43)-SUMIF(G9:G43,"P",F9:F43))=0,"",SUM(F9:F43)-SUMIF(G9:G43,"P",F9:F43))</f>
        <v/>
      </c>
      <c r="G8" s="81" t="str">
        <f>IFERROR(IF(COUNTA(F9:H43)=0,"",ROUND(SUM(Z9:Z43),2)),"")</f>
        <v/>
      </c>
      <c r="H8" s="83"/>
      <c r="J8" s="79" t="s">
        <v>27</v>
      </c>
      <c r="K8" s="80" t="str">
        <f>IF((SUM(K9:K43)-SUMIF(L9:L43,"P",K9:K43))=0,"",SUM(K9:K43)-SUMIF(L9:L43,"P",K9:K43))</f>
        <v/>
      </c>
      <c r="L8" s="81" t="str">
        <f>IFERROR(IF(COUNTA(K9:M43)=0,"",ROUND(SUM(AA9:AA43),2)),"")</f>
        <v/>
      </c>
      <c r="M8" s="82"/>
      <c r="N8" s="80" t="str">
        <f>IF((SUM(N9:N43)-SUMIF(O9:O43,"P",N9:N43))=0,"",SUM(N9:N43)-SUMIF(O9:O43,"P",N9:N43))</f>
        <v/>
      </c>
      <c r="O8" s="81" t="str">
        <f>IFERROR(IF(COUNTA(N9:P43)=0,"",ROUND(SUM(AB9:AB43),2)),"")</f>
        <v/>
      </c>
      <c r="P8" s="83"/>
      <c r="Q8" s="78"/>
      <c r="R8" s="79" t="s">
        <v>28</v>
      </c>
      <c r="S8" s="80" t="str">
        <f>IF((SUM(S9:S43)-SUMIF(T9:T43,"P",S9:S43))=0,"",SUM(S9:S43)-SUMIF(T9:T43,"P",S9:S43))</f>
        <v/>
      </c>
      <c r="T8" s="81" t="str">
        <f>IFERROR(IF(COUNTA(S9:U43)=0,"",ROUND(SUM(AC9:AC43),2)),"")</f>
        <v/>
      </c>
      <c r="U8" s="83"/>
      <c r="V8" s="16"/>
      <c r="W8" s="16"/>
      <c r="Y8" s="17"/>
      <c r="Z8" s="18"/>
      <c r="AA8" s="19"/>
      <c r="AB8" s="18"/>
      <c r="AC8" s="20"/>
      <c r="AD8" s="21"/>
      <c r="AE8" s="22" t="s">
        <v>14</v>
      </c>
      <c r="AF8" s="22">
        <v>1</v>
      </c>
    </row>
    <row r="9" spans="1:32" x14ac:dyDescent="0.3">
      <c r="B9" s="41"/>
      <c r="C9" s="42"/>
      <c r="D9" s="43"/>
      <c r="E9" s="44"/>
      <c r="F9" s="42"/>
      <c r="G9" s="43"/>
      <c r="H9" s="44"/>
      <c r="J9" s="41"/>
      <c r="K9" s="42"/>
      <c r="L9" s="43"/>
      <c r="M9" s="44"/>
      <c r="N9" s="42"/>
      <c r="O9" s="43"/>
      <c r="P9" s="44"/>
      <c r="R9" s="41"/>
      <c r="S9" s="42"/>
      <c r="T9" s="43"/>
      <c r="U9" s="44"/>
      <c r="V9" s="26"/>
      <c r="W9" s="26"/>
      <c r="Y9" s="27" t="str">
        <f>IFERROR(IF(ISBLANK($E9),IFERROR(VLOOKUP($D9,$AE$7:$AF$14,2,0),""),$E9)*C9,"")</f>
        <v/>
      </c>
      <c r="Z9" s="28" t="str">
        <f>IFERROR(IF(ISBLANK($H9),IFERROR(VLOOKUP($G9,$AE$7:$AF$14,2,0),""),$H9)*F9,"")</f>
        <v/>
      </c>
      <c r="AA9" s="28" t="str">
        <f>IFERROR(IF(ISBLANK($M9),IFERROR(VLOOKUP($L9,$AE$7:$AF$14,2,0),""),$M9)*K9,"")</f>
        <v/>
      </c>
      <c r="AB9" s="28" t="str">
        <f>IFERROR(IF(ISBLANK($P9),IFERROR(VLOOKUP($O9,$AE$7:$AF$14,2,0),""),$P9)*N9,"")</f>
        <v/>
      </c>
      <c r="AC9" s="28" t="str">
        <f>IFERROR(IF(ISBLANK($U9),IFERROR(VLOOKUP($T9,$AE$7:$AF$14,2,0),""),$U9)*S9,"")</f>
        <v/>
      </c>
      <c r="AD9" s="13"/>
      <c r="AE9" s="22" t="s">
        <v>26</v>
      </c>
      <c r="AF9" s="22">
        <v>3</v>
      </c>
    </row>
    <row r="10" spans="1:32" x14ac:dyDescent="0.3">
      <c r="B10" s="29"/>
      <c r="C10" s="30"/>
      <c r="D10" s="31"/>
      <c r="E10" s="32"/>
      <c r="F10" s="30"/>
      <c r="G10" s="31"/>
      <c r="H10" s="32"/>
      <c r="J10" s="29"/>
      <c r="K10" s="30"/>
      <c r="L10" s="31"/>
      <c r="M10" s="32"/>
      <c r="N10" s="30"/>
      <c r="O10" s="31"/>
      <c r="P10" s="32"/>
      <c r="R10" s="29"/>
      <c r="S10" s="30"/>
      <c r="T10" s="31"/>
      <c r="U10" s="32"/>
      <c r="V10" s="26"/>
      <c r="W10" s="26"/>
      <c r="Y10" s="33" t="str">
        <f>IFERROR(IF(ISBLANK($E10),IFERROR(VLOOKUP($D10,$AE$7:$AF$14,2,0),""),$E10)*C10,"")</f>
        <v/>
      </c>
      <c r="Z10" s="34" t="str">
        <f>IFERROR(IF(ISBLANK($H10),IFERROR(VLOOKUP($G10,$AE$7:$AF$14,2,0),""),$H10)*F10,"")</f>
        <v/>
      </c>
      <c r="AA10" s="34" t="str">
        <f>IFERROR(IF(ISBLANK($M10),IFERROR(VLOOKUP($L10,$AE$7:$AF$14,2,0),""),$M10)*K10,"")</f>
        <v/>
      </c>
      <c r="AB10" s="34" t="str">
        <f>IFERROR(IF(ISBLANK($P10),IFERROR(VLOOKUP($O10,$AE$7:$AF$14,2,0),""),$P10)*N10,"")</f>
        <v/>
      </c>
      <c r="AC10" s="34" t="str">
        <f>IFERROR(IF(ISBLANK($U10),IFERROR(VLOOKUP($T10,$AE$7:$AF$14,2,0),""),$U10)*S10,"")</f>
        <v/>
      </c>
      <c r="AD10" s="13"/>
      <c r="AE10" s="22" t="s">
        <v>15</v>
      </c>
      <c r="AF10" s="22">
        <v>5</v>
      </c>
    </row>
    <row r="11" spans="1:32" x14ac:dyDescent="0.3">
      <c r="B11" s="29"/>
      <c r="C11" s="30"/>
      <c r="D11" s="31"/>
      <c r="E11" s="32"/>
      <c r="F11" s="30"/>
      <c r="G11" s="31"/>
      <c r="H11" s="32"/>
      <c r="J11" s="29"/>
      <c r="K11" s="30"/>
      <c r="L11" s="31"/>
      <c r="M11" s="32"/>
      <c r="N11" s="30"/>
      <c r="O11" s="31"/>
      <c r="P11" s="32"/>
      <c r="R11" s="29"/>
      <c r="S11" s="30"/>
      <c r="T11" s="31"/>
      <c r="U11" s="32"/>
      <c r="V11" s="26"/>
      <c r="W11" s="26"/>
      <c r="Y11" s="33" t="str">
        <f>IFERROR(IF(ISBLANK($E11),IFERROR(VLOOKUP($D11,$AE$7:$AF$14,2,0),""),$E11)*C11,"")</f>
        <v/>
      </c>
      <c r="Z11" s="34" t="str">
        <f>IFERROR(IF(ISBLANK($H11),IFERROR(VLOOKUP($G11,$AE$7:$AF$14,2,0),""),$H11)*F11,"")</f>
        <v/>
      </c>
      <c r="AA11" s="34" t="str">
        <f>IFERROR(IF(ISBLANK($M11),IFERROR(VLOOKUP($L11,$AE$7:$AF$14,2,0),""),$M11)*K11,"")</f>
        <v/>
      </c>
      <c r="AB11" s="34" t="str">
        <f>IFERROR(IF(ISBLANK($P11),IFERROR(VLOOKUP($O11,$AE$7:$AF$14,2,0),""),$P11)*N11,"")</f>
        <v/>
      </c>
      <c r="AC11" s="34" t="str">
        <f>IFERROR(IF(ISBLANK($U11),IFERROR(VLOOKUP($T11,$AE$7:$AF$14,2,0),""),$U11)*S11,"")</f>
        <v/>
      </c>
      <c r="AD11" s="13"/>
      <c r="AE11" s="22" t="s">
        <v>16</v>
      </c>
      <c r="AF11" s="22">
        <v>7</v>
      </c>
    </row>
    <row r="12" spans="1:32" x14ac:dyDescent="0.3">
      <c r="B12" s="29"/>
      <c r="C12" s="30"/>
      <c r="D12" s="31"/>
      <c r="E12" s="32"/>
      <c r="F12" s="30"/>
      <c r="G12" s="31"/>
      <c r="H12" s="32"/>
      <c r="J12" s="29"/>
      <c r="K12" s="30"/>
      <c r="L12" s="31"/>
      <c r="M12" s="32"/>
      <c r="N12" s="30"/>
      <c r="O12" s="31"/>
      <c r="P12" s="32"/>
      <c r="R12" s="29"/>
      <c r="S12" s="30"/>
      <c r="T12" s="31"/>
      <c r="U12" s="32"/>
      <c r="V12" s="26"/>
      <c r="W12" s="26"/>
      <c r="Y12" s="33" t="str">
        <f>IFERROR(IF(ISBLANK($E12),IFERROR(VLOOKUP($D12,$AE$7:$AF$14,2,0),""),$E12)*C12,"")</f>
        <v/>
      </c>
      <c r="Z12" s="34" t="str">
        <f>IFERROR(IF(ISBLANK($H12),IFERROR(VLOOKUP($G12,$AE$7:$AF$14,2,0),""),$H12)*F12,"")</f>
        <v/>
      </c>
      <c r="AA12" s="34" t="str">
        <f>IFERROR(IF(ISBLANK($M12),IFERROR(VLOOKUP($L12,$AE$7:$AF$14,2,0),""),$M12)*K12,"")</f>
        <v/>
      </c>
      <c r="AB12" s="34" t="str">
        <f>IFERROR(IF(ISBLANK($P12),IFERROR(VLOOKUP($O12,$AE$7:$AF$14,2,0),""),$P12)*N12,"")</f>
        <v/>
      </c>
      <c r="AC12" s="34" t="str">
        <f>IFERROR(IF(ISBLANK($U12),IFERROR(VLOOKUP($T12,$AE$7:$AF$14,2,0),""),$U12)*S12,"")</f>
        <v/>
      </c>
      <c r="AD12" s="13"/>
      <c r="AE12" s="22" t="s">
        <v>17</v>
      </c>
      <c r="AF12" s="22">
        <v>9</v>
      </c>
    </row>
    <row r="13" spans="1:32" x14ac:dyDescent="0.3">
      <c r="B13" s="35"/>
      <c r="C13" s="36"/>
      <c r="D13" s="37"/>
      <c r="E13" s="38"/>
      <c r="F13" s="36"/>
      <c r="G13" s="37"/>
      <c r="H13" s="38"/>
      <c r="J13" s="35"/>
      <c r="K13" s="36"/>
      <c r="L13" s="37"/>
      <c r="M13" s="38"/>
      <c r="N13" s="36"/>
      <c r="O13" s="37"/>
      <c r="P13" s="38"/>
      <c r="R13" s="35"/>
      <c r="S13" s="36"/>
      <c r="T13" s="37"/>
      <c r="U13" s="38"/>
      <c r="V13" s="26"/>
      <c r="W13" s="26"/>
      <c r="Y13" s="39" t="str">
        <f>IFERROR(IF(ISBLANK($E13),IFERROR(VLOOKUP($D13,$AE$7:$AF$14,2,0),""),$E13)*C13,"")</f>
        <v/>
      </c>
      <c r="Z13" s="40" t="str">
        <f>IFERROR(IF(ISBLANK($H13),IFERROR(VLOOKUP($G13,$AE$7:$AF$14,2,0),""),$H13)*F13,"")</f>
        <v/>
      </c>
      <c r="AA13" s="40" t="str">
        <f>IFERROR(IF(ISBLANK($M13),IFERROR(VLOOKUP($L13,$AE$7:$AF$14,2,0),""),$M13)*K13,"")</f>
        <v/>
      </c>
      <c r="AB13" s="40" t="str">
        <f>IFERROR(IF(ISBLANK($P13),IFERROR(VLOOKUP($O13,$AE$7:$AF$14,2,0),""),$P13)*N13,"")</f>
        <v/>
      </c>
      <c r="AC13" s="40" t="str">
        <f>IFERROR(IF(ISBLANK($U13),IFERROR(VLOOKUP($T13,$AE$7:$AF$14,2,0),""),$U13)*S13,"")</f>
        <v/>
      </c>
      <c r="AD13" s="13"/>
      <c r="AE13" s="22" t="s">
        <v>18</v>
      </c>
      <c r="AF13" s="22">
        <v>0</v>
      </c>
    </row>
    <row r="14" spans="1:32" x14ac:dyDescent="0.3">
      <c r="B14" s="41"/>
      <c r="C14" s="42"/>
      <c r="D14" s="43"/>
      <c r="E14" s="44"/>
      <c r="F14" s="42"/>
      <c r="G14" s="43"/>
      <c r="H14" s="44"/>
      <c r="J14" s="41"/>
      <c r="K14" s="42"/>
      <c r="L14" s="43"/>
      <c r="M14" s="44"/>
      <c r="N14" s="42"/>
      <c r="O14" s="43"/>
      <c r="P14" s="44"/>
      <c r="R14" s="41"/>
      <c r="S14" s="42"/>
      <c r="T14" s="43"/>
      <c r="U14" s="44"/>
      <c r="V14" s="26"/>
      <c r="W14" s="26"/>
      <c r="Y14" s="33" t="str">
        <f t="shared" ref="Y14:Y43" si="0">IFERROR(IF(ISBLANK($E14),IFERROR(VLOOKUP($D14,$AE$8:$AF$15,2,0),""),$E14)*C14,"")</f>
        <v/>
      </c>
      <c r="Z14" s="34" t="str">
        <f t="shared" ref="Z14:Z43" si="1">IFERROR(IF(ISBLANK($H14),IFERROR(VLOOKUP($G14,$AE$8:$AF$15,2,0),""),$H14)*F14,"")</f>
        <v/>
      </c>
      <c r="AA14" s="34" t="str">
        <f t="shared" ref="AA14:AA43" si="2">IFERROR(IF(ISBLANK($M14),IFERROR(VLOOKUP($L14,$AE$8:$AF$15,2,0),""),$M14)*K14,"")</f>
        <v/>
      </c>
      <c r="AB14" s="34" t="str">
        <f t="shared" ref="AB14:AB43" si="3">IFERROR(IF(ISBLANK($P14),IFERROR(VLOOKUP($O14,$AE$8:$AF$15,2,0),""),$P14)*N14,"")</f>
        <v/>
      </c>
      <c r="AC14" s="34" t="str">
        <f t="shared" ref="AC14:AC43" si="4">IFERROR(IF(ISBLANK($U14),IFERROR(VLOOKUP($T14,$AE$8:$AF$15,2,0),""),$U14)*S14,"")</f>
        <v/>
      </c>
      <c r="AD14" s="13"/>
    </row>
    <row r="15" spans="1:32" x14ac:dyDescent="0.3">
      <c r="B15" s="29"/>
      <c r="C15" s="30"/>
      <c r="D15" s="31"/>
      <c r="E15" s="32"/>
      <c r="F15" s="30"/>
      <c r="G15" s="43"/>
      <c r="H15" s="32"/>
      <c r="J15" s="29"/>
      <c r="K15" s="30"/>
      <c r="L15" s="31"/>
      <c r="M15" s="32"/>
      <c r="N15" s="30"/>
      <c r="O15" s="31"/>
      <c r="P15" s="32"/>
      <c r="R15" s="29"/>
      <c r="S15" s="30"/>
      <c r="T15" s="31"/>
      <c r="U15" s="32"/>
      <c r="V15" s="26"/>
      <c r="W15" s="26"/>
      <c r="Y15" s="33" t="str">
        <f t="shared" si="0"/>
        <v/>
      </c>
      <c r="Z15" s="34" t="str">
        <f t="shared" si="1"/>
        <v/>
      </c>
      <c r="AA15" s="34" t="str">
        <f t="shared" si="2"/>
        <v/>
      </c>
      <c r="AB15" s="34" t="str">
        <f t="shared" si="3"/>
        <v/>
      </c>
      <c r="AC15" s="34" t="str">
        <f t="shared" si="4"/>
        <v/>
      </c>
      <c r="AD15" s="13"/>
    </row>
    <row r="16" spans="1:32" x14ac:dyDescent="0.3">
      <c r="B16" s="29"/>
      <c r="C16" s="30"/>
      <c r="D16" s="31"/>
      <c r="E16" s="32"/>
      <c r="F16" s="30"/>
      <c r="G16" s="43"/>
      <c r="H16" s="32"/>
      <c r="J16" s="29"/>
      <c r="K16" s="30"/>
      <c r="L16" s="31"/>
      <c r="M16" s="32"/>
      <c r="N16" s="30"/>
      <c r="O16" s="31"/>
      <c r="P16" s="32"/>
      <c r="R16" s="29"/>
      <c r="S16" s="30"/>
      <c r="T16" s="31"/>
      <c r="U16" s="32"/>
      <c r="V16" s="26"/>
      <c r="W16" s="26"/>
      <c r="Y16" s="33" t="str">
        <f t="shared" si="0"/>
        <v/>
      </c>
      <c r="Z16" s="34" t="str">
        <f t="shared" si="1"/>
        <v/>
      </c>
      <c r="AA16" s="34" t="str">
        <f t="shared" si="2"/>
        <v/>
      </c>
      <c r="AB16" s="34" t="str">
        <f t="shared" si="3"/>
        <v/>
      </c>
      <c r="AC16" s="34" t="str">
        <f t="shared" si="4"/>
        <v/>
      </c>
      <c r="AD16" s="13"/>
    </row>
    <row r="17" spans="2:30" x14ac:dyDescent="0.3">
      <c r="B17" s="29"/>
      <c r="C17" s="30"/>
      <c r="D17" s="31"/>
      <c r="E17" s="32"/>
      <c r="F17" s="30"/>
      <c r="G17" s="45"/>
      <c r="H17" s="32"/>
      <c r="J17" s="29"/>
      <c r="K17" s="30"/>
      <c r="L17" s="31"/>
      <c r="M17" s="32"/>
      <c r="N17" s="30"/>
      <c r="O17" s="31"/>
      <c r="P17" s="32"/>
      <c r="R17" s="29"/>
      <c r="S17" s="30"/>
      <c r="T17" s="31"/>
      <c r="U17" s="32"/>
      <c r="V17" s="26"/>
      <c r="W17" s="26"/>
      <c r="Y17" s="33" t="str">
        <f t="shared" si="0"/>
        <v/>
      </c>
      <c r="Z17" s="34" t="str">
        <f t="shared" si="1"/>
        <v/>
      </c>
      <c r="AA17" s="34" t="str">
        <f t="shared" si="2"/>
        <v/>
      </c>
      <c r="AB17" s="34" t="str">
        <f t="shared" si="3"/>
        <v/>
      </c>
      <c r="AC17" s="34" t="str">
        <f t="shared" si="4"/>
        <v/>
      </c>
      <c r="AD17" s="13"/>
    </row>
    <row r="18" spans="2:30" x14ac:dyDescent="0.3">
      <c r="B18" s="46"/>
      <c r="C18" s="47"/>
      <c r="D18" s="48"/>
      <c r="E18" s="49"/>
      <c r="F18" s="47"/>
      <c r="G18" s="48"/>
      <c r="H18" s="49"/>
      <c r="J18" s="46"/>
      <c r="K18" s="47"/>
      <c r="L18" s="48"/>
      <c r="M18" s="49"/>
      <c r="N18" s="47"/>
      <c r="O18" s="48"/>
      <c r="P18" s="49"/>
      <c r="R18" s="46"/>
      <c r="S18" s="47"/>
      <c r="T18" s="48"/>
      <c r="U18" s="49"/>
      <c r="V18" s="26"/>
      <c r="W18" s="26"/>
      <c r="Y18" s="50" t="str">
        <f t="shared" si="0"/>
        <v/>
      </c>
      <c r="Z18" s="51" t="str">
        <f t="shared" si="1"/>
        <v/>
      </c>
      <c r="AA18" s="51" t="str">
        <f t="shared" si="2"/>
        <v/>
      </c>
      <c r="AB18" s="51" t="str">
        <f t="shared" si="3"/>
        <v/>
      </c>
      <c r="AC18" s="51" t="str">
        <f t="shared" si="4"/>
        <v/>
      </c>
      <c r="AD18" s="13"/>
    </row>
    <row r="19" spans="2:30" x14ac:dyDescent="0.3">
      <c r="B19" s="52"/>
      <c r="C19" s="23"/>
      <c r="D19" s="24"/>
      <c r="E19" s="25"/>
      <c r="F19" s="23"/>
      <c r="G19" s="24"/>
      <c r="H19" s="25"/>
      <c r="J19" s="52"/>
      <c r="K19" s="23"/>
      <c r="L19" s="24"/>
      <c r="M19" s="25"/>
      <c r="N19" s="23"/>
      <c r="O19" s="24"/>
      <c r="P19" s="25"/>
      <c r="R19" s="52"/>
      <c r="S19" s="23"/>
      <c r="T19" s="24"/>
      <c r="U19" s="25"/>
      <c r="V19" s="26"/>
      <c r="W19" s="26"/>
      <c r="Y19" s="27" t="str">
        <f t="shared" si="0"/>
        <v/>
      </c>
      <c r="Z19" s="28" t="str">
        <f t="shared" si="1"/>
        <v/>
      </c>
      <c r="AA19" s="28" t="str">
        <f t="shared" si="2"/>
        <v/>
      </c>
      <c r="AB19" s="28" t="str">
        <f t="shared" si="3"/>
        <v/>
      </c>
      <c r="AC19" s="28" t="str">
        <f t="shared" si="4"/>
        <v/>
      </c>
      <c r="AD19" s="13"/>
    </row>
    <row r="20" spans="2:30" x14ac:dyDescent="0.3">
      <c r="B20" s="53"/>
      <c r="C20" s="30"/>
      <c r="D20" s="31"/>
      <c r="E20" s="32"/>
      <c r="F20" s="30"/>
      <c r="G20" s="31"/>
      <c r="H20" s="32"/>
      <c r="J20" s="53"/>
      <c r="K20" s="30"/>
      <c r="L20" s="31"/>
      <c r="M20" s="32"/>
      <c r="N20" s="30"/>
      <c r="O20" s="31"/>
      <c r="P20" s="32"/>
      <c r="R20" s="53"/>
      <c r="S20" s="30"/>
      <c r="T20" s="31"/>
      <c r="U20" s="32"/>
      <c r="V20" s="26"/>
      <c r="W20" s="26"/>
      <c r="Y20" s="33" t="str">
        <f t="shared" si="0"/>
        <v/>
      </c>
      <c r="Z20" s="34" t="str">
        <f t="shared" si="1"/>
        <v/>
      </c>
      <c r="AA20" s="34" t="str">
        <f t="shared" si="2"/>
        <v/>
      </c>
      <c r="AB20" s="34" t="str">
        <f t="shared" si="3"/>
        <v/>
      </c>
      <c r="AC20" s="34" t="str">
        <f t="shared" si="4"/>
        <v/>
      </c>
      <c r="AD20" s="13"/>
    </row>
    <row r="21" spans="2:30" x14ac:dyDescent="0.3">
      <c r="B21" s="53"/>
      <c r="C21" s="30"/>
      <c r="D21" s="31"/>
      <c r="E21" s="32"/>
      <c r="F21" s="30"/>
      <c r="G21" s="31"/>
      <c r="H21" s="32"/>
      <c r="J21" s="53"/>
      <c r="K21" s="30"/>
      <c r="L21" s="31"/>
      <c r="M21" s="32"/>
      <c r="N21" s="30"/>
      <c r="O21" s="31"/>
      <c r="P21" s="32"/>
      <c r="R21" s="53"/>
      <c r="S21" s="30"/>
      <c r="T21" s="31"/>
      <c r="U21" s="32"/>
      <c r="V21" s="26"/>
      <c r="W21" s="26"/>
      <c r="Y21" s="33" t="str">
        <f t="shared" si="0"/>
        <v/>
      </c>
      <c r="Z21" s="34" t="str">
        <f t="shared" si="1"/>
        <v/>
      </c>
      <c r="AA21" s="34" t="str">
        <f t="shared" si="2"/>
        <v/>
      </c>
      <c r="AB21" s="34" t="str">
        <f t="shared" si="3"/>
        <v/>
      </c>
      <c r="AC21" s="34" t="str">
        <f t="shared" si="4"/>
        <v/>
      </c>
      <c r="AD21" s="13"/>
    </row>
    <row r="22" spans="2:30" x14ac:dyDescent="0.3">
      <c r="B22" s="53"/>
      <c r="C22" s="30"/>
      <c r="D22" s="31"/>
      <c r="E22" s="32"/>
      <c r="F22" s="30"/>
      <c r="G22" s="31"/>
      <c r="H22" s="32"/>
      <c r="J22" s="53"/>
      <c r="K22" s="30"/>
      <c r="L22" s="31"/>
      <c r="M22" s="32"/>
      <c r="N22" s="30"/>
      <c r="O22" s="31"/>
      <c r="P22" s="32"/>
      <c r="R22" s="53"/>
      <c r="S22" s="30"/>
      <c r="T22" s="31"/>
      <c r="U22" s="32"/>
      <c r="V22" s="26"/>
      <c r="W22" s="26"/>
      <c r="Y22" s="33" t="str">
        <f t="shared" si="0"/>
        <v/>
      </c>
      <c r="Z22" s="34" t="str">
        <f t="shared" si="1"/>
        <v/>
      </c>
      <c r="AA22" s="34" t="str">
        <f t="shared" si="2"/>
        <v/>
      </c>
      <c r="AB22" s="34" t="str">
        <f t="shared" si="3"/>
        <v/>
      </c>
      <c r="AC22" s="34" t="str">
        <f t="shared" si="4"/>
        <v/>
      </c>
      <c r="AD22" s="13"/>
    </row>
    <row r="23" spans="2:30" x14ac:dyDescent="0.3">
      <c r="B23" s="54"/>
      <c r="C23" s="36"/>
      <c r="D23" s="37"/>
      <c r="E23" s="38"/>
      <c r="F23" s="36"/>
      <c r="G23" s="37"/>
      <c r="H23" s="38"/>
      <c r="J23" s="54"/>
      <c r="K23" s="36"/>
      <c r="L23" s="37"/>
      <c r="M23" s="38"/>
      <c r="N23" s="36"/>
      <c r="O23" s="37"/>
      <c r="P23" s="38"/>
      <c r="R23" s="54"/>
      <c r="S23" s="36"/>
      <c r="T23" s="37"/>
      <c r="U23" s="38"/>
      <c r="V23" s="26"/>
      <c r="W23" s="26"/>
      <c r="Y23" s="39" t="str">
        <f t="shared" si="0"/>
        <v/>
      </c>
      <c r="Z23" s="40" t="str">
        <f t="shared" si="1"/>
        <v/>
      </c>
      <c r="AA23" s="40" t="str">
        <f t="shared" si="2"/>
        <v/>
      </c>
      <c r="AB23" s="40" t="str">
        <f t="shared" si="3"/>
        <v/>
      </c>
      <c r="AC23" s="40" t="str">
        <f t="shared" si="4"/>
        <v/>
      </c>
      <c r="AD23" s="13"/>
    </row>
    <row r="24" spans="2:30" x14ac:dyDescent="0.3">
      <c r="B24" s="52"/>
      <c r="C24" s="23"/>
      <c r="D24" s="24"/>
      <c r="E24" s="25"/>
      <c r="F24" s="23"/>
      <c r="G24" s="24"/>
      <c r="H24" s="25"/>
      <c r="J24" s="52"/>
      <c r="K24" s="23"/>
      <c r="L24" s="24"/>
      <c r="M24" s="25"/>
      <c r="N24" s="23"/>
      <c r="O24" s="24"/>
      <c r="P24" s="25"/>
      <c r="R24" s="52"/>
      <c r="S24" s="23"/>
      <c r="T24" s="24"/>
      <c r="U24" s="25"/>
      <c r="V24" s="26"/>
      <c r="W24" s="26"/>
      <c r="Y24" s="33" t="str">
        <f t="shared" si="0"/>
        <v/>
      </c>
      <c r="Z24" s="34" t="str">
        <f t="shared" si="1"/>
        <v/>
      </c>
      <c r="AA24" s="34" t="str">
        <f t="shared" si="2"/>
        <v/>
      </c>
      <c r="AB24" s="34" t="str">
        <f t="shared" si="3"/>
        <v/>
      </c>
      <c r="AC24" s="34" t="str">
        <f t="shared" si="4"/>
        <v/>
      </c>
      <c r="AD24" s="13"/>
    </row>
    <row r="25" spans="2:30" x14ac:dyDescent="0.3">
      <c r="B25" s="53"/>
      <c r="C25" s="30"/>
      <c r="D25" s="31"/>
      <c r="E25" s="32"/>
      <c r="F25" s="30"/>
      <c r="G25" s="31"/>
      <c r="H25" s="32"/>
      <c r="J25" s="53"/>
      <c r="K25" s="30"/>
      <c r="L25" s="31"/>
      <c r="M25" s="32"/>
      <c r="N25" s="30"/>
      <c r="O25" s="31"/>
      <c r="P25" s="32"/>
      <c r="R25" s="53"/>
      <c r="S25" s="30"/>
      <c r="T25" s="31"/>
      <c r="U25" s="32"/>
      <c r="V25" s="26"/>
      <c r="W25" s="26"/>
      <c r="Y25" s="33" t="str">
        <f t="shared" si="0"/>
        <v/>
      </c>
      <c r="Z25" s="34" t="str">
        <f t="shared" si="1"/>
        <v/>
      </c>
      <c r="AA25" s="34" t="str">
        <f t="shared" si="2"/>
        <v/>
      </c>
      <c r="AB25" s="34" t="str">
        <f t="shared" si="3"/>
        <v/>
      </c>
      <c r="AC25" s="34" t="str">
        <f t="shared" si="4"/>
        <v/>
      </c>
      <c r="AD25" s="13"/>
    </row>
    <row r="26" spans="2:30" x14ac:dyDescent="0.3">
      <c r="B26" s="53"/>
      <c r="C26" s="30"/>
      <c r="D26" s="31"/>
      <c r="E26" s="32"/>
      <c r="F26" s="30"/>
      <c r="G26" s="31"/>
      <c r="H26" s="32"/>
      <c r="J26" s="53"/>
      <c r="K26" s="30"/>
      <c r="L26" s="31"/>
      <c r="M26" s="32"/>
      <c r="N26" s="30"/>
      <c r="O26" s="31"/>
      <c r="P26" s="32"/>
      <c r="R26" s="53"/>
      <c r="S26" s="30"/>
      <c r="T26" s="31"/>
      <c r="U26" s="32"/>
      <c r="V26" s="26"/>
      <c r="W26" s="26"/>
      <c r="Y26" s="33" t="str">
        <f t="shared" si="0"/>
        <v/>
      </c>
      <c r="Z26" s="34" t="str">
        <f t="shared" si="1"/>
        <v/>
      </c>
      <c r="AA26" s="34" t="str">
        <f t="shared" si="2"/>
        <v/>
      </c>
      <c r="AB26" s="34" t="str">
        <f t="shared" si="3"/>
        <v/>
      </c>
      <c r="AC26" s="34" t="str">
        <f t="shared" si="4"/>
        <v/>
      </c>
      <c r="AD26" s="13"/>
    </row>
    <row r="27" spans="2:30" x14ac:dyDescent="0.3">
      <c r="B27" s="53"/>
      <c r="C27" s="30"/>
      <c r="D27" s="31"/>
      <c r="E27" s="32"/>
      <c r="F27" s="30"/>
      <c r="G27" s="31"/>
      <c r="H27" s="32"/>
      <c r="J27" s="53"/>
      <c r="K27" s="30"/>
      <c r="L27" s="31"/>
      <c r="M27" s="32"/>
      <c r="N27" s="30"/>
      <c r="O27" s="31"/>
      <c r="P27" s="32"/>
      <c r="R27" s="53"/>
      <c r="S27" s="30"/>
      <c r="T27" s="31"/>
      <c r="U27" s="32"/>
      <c r="V27" s="26"/>
      <c r="W27" s="26"/>
      <c r="Y27" s="33" t="str">
        <f t="shared" si="0"/>
        <v/>
      </c>
      <c r="Z27" s="34" t="str">
        <f t="shared" si="1"/>
        <v/>
      </c>
      <c r="AA27" s="34" t="str">
        <f t="shared" si="2"/>
        <v/>
      </c>
      <c r="AB27" s="34" t="str">
        <f t="shared" si="3"/>
        <v/>
      </c>
      <c r="AC27" s="34" t="str">
        <f t="shared" si="4"/>
        <v/>
      </c>
      <c r="AD27" s="13"/>
    </row>
    <row r="28" spans="2:30" x14ac:dyDescent="0.3">
      <c r="B28" s="54"/>
      <c r="C28" s="36"/>
      <c r="D28" s="37"/>
      <c r="E28" s="38"/>
      <c r="F28" s="36"/>
      <c r="G28" s="37"/>
      <c r="H28" s="38"/>
      <c r="J28" s="54"/>
      <c r="K28" s="36"/>
      <c r="L28" s="37"/>
      <c r="M28" s="38"/>
      <c r="N28" s="36"/>
      <c r="O28" s="37"/>
      <c r="P28" s="38"/>
      <c r="R28" s="54"/>
      <c r="S28" s="36"/>
      <c r="T28" s="37"/>
      <c r="U28" s="38"/>
      <c r="V28" s="26"/>
      <c r="W28" s="26"/>
      <c r="Y28" s="50" t="str">
        <f t="shared" si="0"/>
        <v/>
      </c>
      <c r="Z28" s="51" t="str">
        <f t="shared" si="1"/>
        <v/>
      </c>
      <c r="AA28" s="51" t="str">
        <f t="shared" si="2"/>
        <v/>
      </c>
      <c r="AB28" s="51" t="str">
        <f t="shared" si="3"/>
        <v/>
      </c>
      <c r="AC28" s="51" t="str">
        <f t="shared" si="4"/>
        <v/>
      </c>
      <c r="AD28" s="13"/>
    </row>
    <row r="29" spans="2:30" x14ac:dyDescent="0.3">
      <c r="B29" s="52"/>
      <c r="C29" s="23"/>
      <c r="D29" s="24"/>
      <c r="E29" s="25"/>
      <c r="F29" s="23"/>
      <c r="G29" s="24"/>
      <c r="H29" s="25"/>
      <c r="J29" s="52"/>
      <c r="K29" s="23"/>
      <c r="L29" s="24"/>
      <c r="M29" s="25"/>
      <c r="N29" s="23"/>
      <c r="O29" s="24"/>
      <c r="P29" s="25"/>
      <c r="R29" s="52"/>
      <c r="S29" s="23"/>
      <c r="T29" s="24"/>
      <c r="U29" s="25"/>
      <c r="V29" s="26"/>
      <c r="W29" s="26"/>
      <c r="Y29" s="33" t="str">
        <f t="shared" si="0"/>
        <v/>
      </c>
      <c r="Z29" s="34" t="str">
        <f t="shared" si="1"/>
        <v/>
      </c>
      <c r="AA29" s="34" t="str">
        <f t="shared" si="2"/>
        <v/>
      </c>
      <c r="AB29" s="34" t="str">
        <f t="shared" si="3"/>
        <v/>
      </c>
      <c r="AC29" s="34" t="str">
        <f t="shared" si="4"/>
        <v/>
      </c>
      <c r="AD29" s="13"/>
    </row>
    <row r="30" spans="2:30" x14ac:dyDescent="0.3">
      <c r="B30" s="53"/>
      <c r="C30" s="30"/>
      <c r="D30" s="31"/>
      <c r="E30" s="32"/>
      <c r="F30" s="30"/>
      <c r="G30" s="31"/>
      <c r="H30" s="32"/>
      <c r="J30" s="53"/>
      <c r="K30" s="30"/>
      <c r="L30" s="31"/>
      <c r="M30" s="32"/>
      <c r="N30" s="30"/>
      <c r="O30" s="31"/>
      <c r="P30" s="32"/>
      <c r="R30" s="53"/>
      <c r="S30" s="30"/>
      <c r="T30" s="31"/>
      <c r="U30" s="32"/>
      <c r="V30" s="26"/>
      <c r="W30" s="26"/>
      <c r="Y30" s="33" t="str">
        <f t="shared" si="0"/>
        <v/>
      </c>
      <c r="Z30" s="34" t="str">
        <f t="shared" si="1"/>
        <v/>
      </c>
      <c r="AA30" s="34" t="str">
        <f t="shared" si="2"/>
        <v/>
      </c>
      <c r="AB30" s="34" t="str">
        <f t="shared" si="3"/>
        <v/>
      </c>
      <c r="AC30" s="34" t="str">
        <f t="shared" si="4"/>
        <v/>
      </c>
      <c r="AD30" s="13"/>
    </row>
    <row r="31" spans="2:30" x14ac:dyDescent="0.3">
      <c r="B31" s="53"/>
      <c r="C31" s="30"/>
      <c r="D31" s="31"/>
      <c r="E31" s="32"/>
      <c r="F31" s="30"/>
      <c r="G31" s="31"/>
      <c r="H31" s="32"/>
      <c r="J31" s="53"/>
      <c r="K31" s="30"/>
      <c r="L31" s="31"/>
      <c r="M31" s="32"/>
      <c r="N31" s="30"/>
      <c r="O31" s="31"/>
      <c r="P31" s="32"/>
      <c r="R31" s="53"/>
      <c r="S31" s="30"/>
      <c r="T31" s="31"/>
      <c r="U31" s="32"/>
      <c r="V31" s="26"/>
      <c r="W31" s="26"/>
      <c r="Y31" s="33" t="str">
        <f t="shared" si="0"/>
        <v/>
      </c>
      <c r="Z31" s="34" t="str">
        <f t="shared" si="1"/>
        <v/>
      </c>
      <c r="AA31" s="34" t="str">
        <f t="shared" si="2"/>
        <v/>
      </c>
      <c r="AB31" s="34" t="str">
        <f t="shared" si="3"/>
        <v/>
      </c>
      <c r="AC31" s="34" t="str">
        <f t="shared" si="4"/>
        <v/>
      </c>
      <c r="AD31" s="13"/>
    </row>
    <row r="32" spans="2:30" x14ac:dyDescent="0.3">
      <c r="B32" s="53"/>
      <c r="C32" s="30"/>
      <c r="D32" s="31"/>
      <c r="E32" s="32"/>
      <c r="F32" s="30"/>
      <c r="G32" s="31"/>
      <c r="H32" s="32"/>
      <c r="J32" s="53"/>
      <c r="K32" s="30"/>
      <c r="L32" s="31"/>
      <c r="M32" s="32"/>
      <c r="N32" s="30"/>
      <c r="O32" s="31"/>
      <c r="P32" s="32"/>
      <c r="R32" s="53"/>
      <c r="S32" s="30"/>
      <c r="T32" s="31"/>
      <c r="U32" s="32"/>
      <c r="V32" s="26"/>
      <c r="W32" s="26"/>
      <c r="Y32" s="33" t="str">
        <f t="shared" si="0"/>
        <v/>
      </c>
      <c r="Z32" s="34" t="str">
        <f t="shared" si="1"/>
        <v/>
      </c>
      <c r="AA32" s="34" t="str">
        <f t="shared" si="2"/>
        <v/>
      </c>
      <c r="AB32" s="34" t="str">
        <f t="shared" si="3"/>
        <v/>
      </c>
      <c r="AC32" s="34" t="str">
        <f t="shared" si="4"/>
        <v/>
      </c>
      <c r="AD32" s="13"/>
    </row>
    <row r="33" spans="2:30" x14ac:dyDescent="0.3">
      <c r="B33" s="54"/>
      <c r="C33" s="36"/>
      <c r="D33" s="37"/>
      <c r="E33" s="38"/>
      <c r="F33" s="36"/>
      <c r="G33" s="37"/>
      <c r="H33" s="38"/>
      <c r="J33" s="54"/>
      <c r="K33" s="36"/>
      <c r="L33" s="37"/>
      <c r="M33" s="38"/>
      <c r="N33" s="36"/>
      <c r="O33" s="37"/>
      <c r="P33" s="38"/>
      <c r="R33" s="54"/>
      <c r="S33" s="36"/>
      <c r="T33" s="37"/>
      <c r="U33" s="38"/>
      <c r="V33" s="26"/>
      <c r="W33" s="26"/>
      <c r="Y33" s="50" t="str">
        <f t="shared" si="0"/>
        <v/>
      </c>
      <c r="Z33" s="51" t="str">
        <f t="shared" si="1"/>
        <v/>
      </c>
      <c r="AA33" s="51" t="str">
        <f t="shared" si="2"/>
        <v/>
      </c>
      <c r="AB33" s="51" t="str">
        <f t="shared" si="3"/>
        <v/>
      </c>
      <c r="AC33" s="51" t="str">
        <f t="shared" si="4"/>
        <v/>
      </c>
      <c r="AD33" s="13"/>
    </row>
    <row r="34" spans="2:30" x14ac:dyDescent="0.3">
      <c r="B34" s="55"/>
      <c r="C34" s="42"/>
      <c r="D34" s="43"/>
      <c r="E34" s="44"/>
      <c r="F34" s="42"/>
      <c r="G34" s="43"/>
      <c r="H34" s="44"/>
      <c r="J34" s="55"/>
      <c r="K34" s="42"/>
      <c r="L34" s="43"/>
      <c r="M34" s="44"/>
      <c r="N34" s="42"/>
      <c r="O34" s="43"/>
      <c r="P34" s="44"/>
      <c r="R34" s="55"/>
      <c r="S34" s="42"/>
      <c r="T34" s="43"/>
      <c r="U34" s="44"/>
      <c r="V34" s="26"/>
      <c r="W34" s="26"/>
      <c r="Y34" s="33" t="str">
        <f t="shared" si="0"/>
        <v/>
      </c>
      <c r="Z34" s="34" t="str">
        <f t="shared" si="1"/>
        <v/>
      </c>
      <c r="AA34" s="34" t="str">
        <f t="shared" si="2"/>
        <v/>
      </c>
      <c r="AB34" s="34" t="str">
        <f t="shared" si="3"/>
        <v/>
      </c>
      <c r="AC34" s="34" t="str">
        <f t="shared" si="4"/>
        <v/>
      </c>
      <c r="AD34" s="13"/>
    </row>
    <row r="35" spans="2:30" x14ac:dyDescent="0.3">
      <c r="B35" s="53"/>
      <c r="C35" s="30"/>
      <c r="D35" s="31"/>
      <c r="E35" s="32"/>
      <c r="F35" s="30"/>
      <c r="G35" s="31"/>
      <c r="H35" s="32"/>
      <c r="J35" s="53"/>
      <c r="K35" s="30"/>
      <c r="L35" s="31"/>
      <c r="M35" s="32"/>
      <c r="N35" s="30"/>
      <c r="O35" s="31"/>
      <c r="P35" s="32"/>
      <c r="R35" s="53"/>
      <c r="S35" s="30"/>
      <c r="T35" s="31"/>
      <c r="U35" s="32"/>
      <c r="V35" s="26"/>
      <c r="W35" s="26"/>
      <c r="Y35" s="33" t="str">
        <f t="shared" si="0"/>
        <v/>
      </c>
      <c r="Z35" s="34" t="str">
        <f t="shared" si="1"/>
        <v/>
      </c>
      <c r="AA35" s="34" t="str">
        <f t="shared" si="2"/>
        <v/>
      </c>
      <c r="AB35" s="34" t="str">
        <f t="shared" si="3"/>
        <v/>
      </c>
      <c r="AC35" s="34" t="str">
        <f t="shared" si="4"/>
        <v/>
      </c>
      <c r="AD35" s="13"/>
    </row>
    <row r="36" spans="2:30" x14ac:dyDescent="0.3">
      <c r="B36" s="53"/>
      <c r="C36" s="30"/>
      <c r="D36" s="31"/>
      <c r="E36" s="32"/>
      <c r="F36" s="30"/>
      <c r="G36" s="31"/>
      <c r="H36" s="32"/>
      <c r="J36" s="53"/>
      <c r="K36" s="30"/>
      <c r="L36" s="31"/>
      <c r="M36" s="32"/>
      <c r="N36" s="30"/>
      <c r="O36" s="31"/>
      <c r="P36" s="32"/>
      <c r="R36" s="53"/>
      <c r="S36" s="30"/>
      <c r="T36" s="31"/>
      <c r="U36" s="32"/>
      <c r="V36" s="26"/>
      <c r="W36" s="26"/>
      <c r="Y36" s="33" t="str">
        <f t="shared" si="0"/>
        <v/>
      </c>
      <c r="Z36" s="34" t="str">
        <f t="shared" si="1"/>
        <v/>
      </c>
      <c r="AA36" s="34" t="str">
        <f t="shared" si="2"/>
        <v/>
      </c>
      <c r="AB36" s="34" t="str">
        <f t="shared" si="3"/>
        <v/>
      </c>
      <c r="AC36" s="34" t="str">
        <f t="shared" si="4"/>
        <v/>
      </c>
      <c r="AD36" s="13"/>
    </row>
    <row r="37" spans="2:30" x14ac:dyDescent="0.3">
      <c r="B37" s="53"/>
      <c r="C37" s="30"/>
      <c r="D37" s="31"/>
      <c r="E37" s="32"/>
      <c r="F37" s="30"/>
      <c r="G37" s="31"/>
      <c r="H37" s="32"/>
      <c r="J37" s="53"/>
      <c r="K37" s="30"/>
      <c r="L37" s="31"/>
      <c r="M37" s="32"/>
      <c r="N37" s="30"/>
      <c r="O37" s="31"/>
      <c r="P37" s="32"/>
      <c r="R37" s="53"/>
      <c r="S37" s="30"/>
      <c r="T37" s="31"/>
      <c r="U37" s="32"/>
      <c r="V37" s="26"/>
      <c r="W37" s="26"/>
      <c r="Y37" s="33" t="str">
        <f t="shared" si="0"/>
        <v/>
      </c>
      <c r="Z37" s="34" t="str">
        <f t="shared" si="1"/>
        <v/>
      </c>
      <c r="AA37" s="34" t="str">
        <f t="shared" si="2"/>
        <v/>
      </c>
      <c r="AB37" s="34" t="str">
        <f t="shared" si="3"/>
        <v/>
      </c>
      <c r="AC37" s="34" t="str">
        <f t="shared" si="4"/>
        <v/>
      </c>
      <c r="AD37" s="13"/>
    </row>
    <row r="38" spans="2:30" x14ac:dyDescent="0.3">
      <c r="B38" s="46"/>
      <c r="C38" s="47"/>
      <c r="D38" s="48"/>
      <c r="E38" s="49"/>
      <c r="F38" s="47"/>
      <c r="G38" s="48"/>
      <c r="H38" s="49"/>
      <c r="J38" s="46"/>
      <c r="K38" s="47"/>
      <c r="L38" s="48"/>
      <c r="M38" s="49"/>
      <c r="N38" s="47"/>
      <c r="O38" s="48"/>
      <c r="P38" s="49"/>
      <c r="R38" s="46"/>
      <c r="S38" s="47"/>
      <c r="T38" s="48"/>
      <c r="U38" s="49"/>
      <c r="V38" s="26"/>
      <c r="W38" s="26"/>
      <c r="Y38" s="50" t="str">
        <f t="shared" si="0"/>
        <v/>
      </c>
      <c r="Z38" s="51" t="str">
        <f t="shared" si="1"/>
        <v/>
      </c>
      <c r="AA38" s="51" t="str">
        <f t="shared" si="2"/>
        <v/>
      </c>
      <c r="AB38" s="51" t="str">
        <f t="shared" si="3"/>
        <v/>
      </c>
      <c r="AC38" s="51" t="str">
        <f t="shared" si="4"/>
        <v/>
      </c>
      <c r="AD38" s="13"/>
    </row>
    <row r="39" spans="2:30" x14ac:dyDescent="0.3">
      <c r="B39" s="52"/>
      <c r="C39" s="23"/>
      <c r="D39" s="24"/>
      <c r="E39" s="25"/>
      <c r="F39" s="23"/>
      <c r="G39" s="24"/>
      <c r="H39" s="25"/>
      <c r="J39" s="52"/>
      <c r="K39" s="23"/>
      <c r="L39" s="24"/>
      <c r="M39" s="25"/>
      <c r="N39" s="23"/>
      <c r="O39" s="24"/>
      <c r="P39" s="25"/>
      <c r="R39" s="52"/>
      <c r="S39" s="23"/>
      <c r="T39" s="24"/>
      <c r="U39" s="25"/>
      <c r="V39" s="26"/>
      <c r="W39" s="26"/>
      <c r="Y39" s="27" t="str">
        <f t="shared" si="0"/>
        <v/>
      </c>
      <c r="Z39" s="28" t="str">
        <f t="shared" si="1"/>
        <v/>
      </c>
      <c r="AA39" s="28" t="str">
        <f t="shared" si="2"/>
        <v/>
      </c>
      <c r="AB39" s="28" t="str">
        <f t="shared" si="3"/>
        <v/>
      </c>
      <c r="AC39" s="28" t="str">
        <f t="shared" si="4"/>
        <v/>
      </c>
      <c r="AD39" s="13"/>
    </row>
    <row r="40" spans="2:30" x14ac:dyDescent="0.3">
      <c r="B40" s="53"/>
      <c r="C40" s="30"/>
      <c r="D40" s="31"/>
      <c r="E40" s="32"/>
      <c r="F40" s="30"/>
      <c r="G40" s="31"/>
      <c r="H40" s="32"/>
      <c r="J40" s="53"/>
      <c r="K40" s="30"/>
      <c r="L40" s="31"/>
      <c r="M40" s="32"/>
      <c r="N40" s="30"/>
      <c r="O40" s="31"/>
      <c r="P40" s="32"/>
      <c r="R40" s="53"/>
      <c r="S40" s="30"/>
      <c r="T40" s="31"/>
      <c r="U40" s="32"/>
      <c r="V40" s="26"/>
      <c r="W40" s="26"/>
      <c r="Y40" s="33" t="str">
        <f t="shared" si="0"/>
        <v/>
      </c>
      <c r="Z40" s="34" t="str">
        <f t="shared" si="1"/>
        <v/>
      </c>
      <c r="AA40" s="34" t="str">
        <f t="shared" si="2"/>
        <v/>
      </c>
      <c r="AB40" s="34" t="str">
        <f t="shared" si="3"/>
        <v/>
      </c>
      <c r="AC40" s="34" t="str">
        <f t="shared" si="4"/>
        <v/>
      </c>
      <c r="AD40" s="13"/>
    </row>
    <row r="41" spans="2:30" x14ac:dyDescent="0.3">
      <c r="B41" s="53"/>
      <c r="C41" s="30"/>
      <c r="D41" s="31"/>
      <c r="E41" s="32"/>
      <c r="F41" s="30"/>
      <c r="G41" s="31"/>
      <c r="H41" s="32"/>
      <c r="J41" s="53"/>
      <c r="K41" s="30"/>
      <c r="L41" s="31"/>
      <c r="M41" s="32"/>
      <c r="N41" s="30"/>
      <c r="O41" s="31"/>
      <c r="P41" s="32"/>
      <c r="R41" s="53"/>
      <c r="S41" s="30"/>
      <c r="T41" s="31"/>
      <c r="U41" s="32"/>
      <c r="V41" s="26"/>
      <c r="W41" s="26"/>
      <c r="Y41" s="33" t="str">
        <f t="shared" si="0"/>
        <v/>
      </c>
      <c r="Z41" s="34" t="str">
        <f t="shared" si="1"/>
        <v/>
      </c>
      <c r="AA41" s="34" t="str">
        <f t="shared" si="2"/>
        <v/>
      </c>
      <c r="AB41" s="34" t="str">
        <f t="shared" si="3"/>
        <v/>
      </c>
      <c r="AC41" s="34" t="str">
        <f t="shared" si="4"/>
        <v/>
      </c>
      <c r="AD41" s="13"/>
    </row>
    <row r="42" spans="2:30" x14ac:dyDescent="0.3">
      <c r="B42" s="53"/>
      <c r="C42" s="30"/>
      <c r="D42" s="31"/>
      <c r="E42" s="32"/>
      <c r="F42" s="30"/>
      <c r="G42" s="31"/>
      <c r="H42" s="32"/>
      <c r="J42" s="53"/>
      <c r="K42" s="30"/>
      <c r="L42" s="31"/>
      <c r="M42" s="32"/>
      <c r="N42" s="30"/>
      <c r="O42" s="31"/>
      <c r="P42" s="32"/>
      <c r="R42" s="53"/>
      <c r="S42" s="30"/>
      <c r="T42" s="31"/>
      <c r="U42" s="32"/>
      <c r="V42" s="26"/>
      <c r="W42" s="26"/>
      <c r="Y42" s="33" t="str">
        <f t="shared" si="0"/>
        <v/>
      </c>
      <c r="Z42" s="34" t="str">
        <f t="shared" si="1"/>
        <v/>
      </c>
      <c r="AA42" s="34" t="str">
        <f t="shared" si="2"/>
        <v/>
      </c>
      <c r="AB42" s="34" t="str">
        <f t="shared" si="3"/>
        <v/>
      </c>
      <c r="AC42" s="34" t="str">
        <f t="shared" si="4"/>
        <v/>
      </c>
      <c r="AD42" s="13"/>
    </row>
    <row r="43" spans="2:30" x14ac:dyDescent="0.3">
      <c r="B43" s="54"/>
      <c r="C43" s="36"/>
      <c r="D43" s="37"/>
      <c r="E43" s="38"/>
      <c r="F43" s="36"/>
      <c r="G43" s="37"/>
      <c r="H43" s="38"/>
      <c r="J43" s="54"/>
      <c r="K43" s="36"/>
      <c r="L43" s="37"/>
      <c r="M43" s="38"/>
      <c r="N43" s="36"/>
      <c r="O43" s="37"/>
      <c r="P43" s="38"/>
      <c r="R43" s="54"/>
      <c r="S43" s="36"/>
      <c r="T43" s="37"/>
      <c r="U43" s="38"/>
      <c r="V43" s="26"/>
      <c r="W43" s="26"/>
      <c r="Y43" s="56" t="str">
        <f t="shared" si="0"/>
        <v/>
      </c>
      <c r="Z43" s="57" t="str">
        <f t="shared" si="1"/>
        <v/>
      </c>
      <c r="AA43" s="57" t="str">
        <f t="shared" si="2"/>
        <v/>
      </c>
      <c r="AB43" s="57" t="str">
        <f t="shared" si="3"/>
        <v/>
      </c>
      <c r="AC43" s="57" t="str">
        <f t="shared" si="4"/>
        <v/>
      </c>
      <c r="AD43" s="13"/>
    </row>
    <row r="44" spans="2:30" x14ac:dyDescent="0.3"/>
  </sheetData>
  <sheetProtection algorithmName="SHA-512" hashValue="7oL88JSD/i/NLuorRzqoleXB5wgEBdyQFnZKfEbDfTPZoJnRC37bEYBWMp5Q7YwAAXqLo2XxBeREr2ACBRP4Xw==" saltValue="kDxGqdcCS0TBMwy+uyvIdQ==" spinCount="100000" sheet="1" selectLockedCells="1"/>
  <mergeCells count="19">
    <mergeCell ref="N6:P6"/>
    <mergeCell ref="B6:B7"/>
    <mergeCell ref="J6:J7"/>
    <mergeCell ref="B1:U1"/>
    <mergeCell ref="S3:U3"/>
    <mergeCell ref="S6:U6"/>
    <mergeCell ref="C6:E6"/>
    <mergeCell ref="R5:U5"/>
    <mergeCell ref="F6:H6"/>
    <mergeCell ref="K3:P3"/>
    <mergeCell ref="B5:H5"/>
    <mergeCell ref="R6:R7"/>
    <mergeCell ref="J5:P5"/>
    <mergeCell ref="K6:M6"/>
    <mergeCell ref="D8:E8"/>
    <mergeCell ref="G8:H8"/>
    <mergeCell ref="L8:M8"/>
    <mergeCell ref="O8:P8"/>
    <mergeCell ref="T8:U8"/>
  </mergeCells>
  <phoneticPr fontId="2" type="noConversion"/>
  <dataValidations xWindow="180" yWindow="449" count="5">
    <dataValidation type="whole" allowBlank="1" showInputMessage="1" showErrorMessage="1" errorTitle="입력 오류" error="단위수는 숫자만 입력 가능합니다. 정확한 숫자를 입력하세요." promptTitle="단위수" prompt="이수한 과목의 단위수를 숫자로 입력하세요." sqref="F9:F43 N9:N43 S9:S43 K9:K43 C9:C43" xr:uid="{693696FA-32B3-44F1-BE9B-A710166E4301}">
      <formula1>1</formula1>
      <formula2>99</formula2>
    </dataValidation>
    <dataValidation type="list" allowBlank="1" showInputMessage="1" showErrorMessage="1" errorTitle="입력 오류" error="5단계 성취도(A, B, C, D, E) 중 하나를 정확히 입력하세요." promptTitle="성취도" prompt="5단계 성취도(A, B, C, D, E) 중 하나를 정확히 입력하세요._x000a__x000a_체육·예술 교과군, 진로 선택과목 등 3단계 성취도(A~C) 과목과 P/F 과목은 입력할 수 없습니다." sqref="G9:G43 O9:O43 T9:T43 L9:L43 D9:D43" xr:uid="{4CFCEF2C-B104-48CC-B472-A27B64B2BED7}">
      <formula1>"A,B,C,D,E"</formula1>
    </dataValidation>
    <dataValidation type="whole" allowBlank="1" showInputMessage="1" showErrorMessage="1" errorTitle="입력 오류" error="정확한 석차등급(1~9등급)을 입력하세요._x000a__x000a_석차등급이 제공되지 않는 전문 교과 과목은 석차등급 란을 빈 칸으로 남겨두세요." promptTitle="석차등급 입력" prompt="본인의 석차등급(1~9)을 입력합니다._x000a__x000a_석차등급이 제공되지 않는 전문 교과 과목은 석차등급 란을 빈 칸으로 남겨두세요." sqref="H9:H43 P9:P43 U9:U43 M9:M43 E9:E43" xr:uid="{92283E1B-FA47-4C40-B621-88495F6E14AA}">
      <formula1>1</formula1>
      <formula2>9</formula2>
    </dataValidation>
    <dataValidation allowBlank="1" showInputMessage="1" showErrorMessage="1" promptTitle="과목명" prompt="본인이 이수한 과목을 정확히 입력하세요._x000a__x000a_* 체육·예술 교과, 3단계 성취도 과목, P/F 과목 입력 불가" sqref="J9:J43 B9:B43 R9:R43" xr:uid="{C4301A5A-D9BA-4B66-8622-C2831F51BD87}"/>
    <dataValidation allowBlank="1" showInputMessage="1" promptTitle="졸업여부" prompt="졸업여부를 선택하세요_x000a_(졸업, 졸업예정)" sqref="A4 V4:XFD4" xr:uid="{E6F4BC56-8B8E-466B-833A-EF9EA4135AF6}"/>
  </dataValidations>
  <pageMargins left="0.39370078740157483" right="0.39370078740157483" top="0.39370078740157483" bottom="0.39370078740157483" header="0" footer="0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입력요령</vt:lpstr>
      <vt:lpstr>내신계산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김대영</cp:lastModifiedBy>
  <dcterms:created xsi:type="dcterms:W3CDTF">2023-08-31T07:54:37Z</dcterms:created>
  <dcterms:modified xsi:type="dcterms:W3CDTF">2026-08-25T04:29:14Z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TEsICJub2RlMSIgOiB7ImRzZCI6IjAxMDAwMDAwMDAwMDE5ODUiLCJsb2dUaW1lIjoiMjAyNC0wOC0yMlQyMzowMjo0OFoiLCJwSUQiOjEsInRyYWNlSWQiOiJEMjJEMURBMjEwMDU0NUQ4ODdGQTlBRUIzMEU1MTlDRCIsInVzZXJDb2RlIjoiMjQ3MDcifSwibm9kZTIiIDogeyJkc2QiOiIwMTAwMDAwMDAwMDAxOTg1IiwibG9nVGltZSI6IjIwMjYtMDgtMTJUMDc6NTU6NDBaIiwicElEIjoxLCJwcm9jZXNzTmFtZSI6IkVYQ0VMLkVYRSIsInRyYWNlSWQiOiIyRjUyRjBBMDk2NUU0NEJCOUY4RTgyRjQ5MENDMTcyMCIsInVzZXJDb2RlIjoiMjQ3MDcifSwibm9kZTMiIDogeyJkc2QiOiIwMTAwMDAwMDAwMDAxOTg1IiwibG9nVGltZSI6IjIwMjYtMDgtMjRUMDA6MDg6MzVaIiwicElEIjoxLCJwcm9jZXNzTmFtZSI6IkVYQ0VMLkVYRSIsInRyYWNlSWQiOiJCQjNGOTk0MTkzMjk0MENGODREOEY5NjM5RjJCOUJGRSIsInVzZXJDb2RlIjoiNDQ3OTgifSwibm9kZTQiIDogeyJkc2QiOiIwMTAwMDAwMDAwMDAxOTg1IiwibG9nVGltZSI6IjIwMjYtMDgtMjVUMDQ6Mjg6MTRaIiwicElEIjoxLCJwcm9jZXNzSWQiOjIyNDAsInByb2Nlc3NOYW1lIjoiRVhDRUwuRVhFIiwidHJhY2VJZCI6Ijg2NTE5RDY1RkM5QTRCNkFBQUYxNTc3MDlGQzI1OTIzIiwidXNlckNvZGUiOiI0NTQxOCJ9LCJub2RlNSIgOiB7ICJ1c2VyQ29kZSIgOiAiIiwgInRyYWNlSWQiIDogIjY1Qjc3N0Q0NDM0RTcwNTk1RDU3M0VDQjIxMEFCMjI0IiwgImRzZCI6IjAwMDAwMDAwMDAwMDAwMDAiLCJsb2dUaW1lIjoiMjAyNi0wOC0yNlQwNTo1NDowNVoiLCJwSUQiIDogMjA0OCwgImxvZ1RpbWUiIDogIjIwMjYtMDgtMjZUMDU6NTQ6MDVaIiB9fQ==</vt:lpwstr>
  </property>
</Properties>
</file>